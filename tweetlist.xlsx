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xr:revisionPtr revIDLastSave="0" documentId="13_ncr:1_{E987D207-271F-494E-9EC7-B9FD55F7582F}" xr6:coauthVersionLast="47" xr6:coauthVersionMax="47" xr10:uidLastSave="{00000000-0000-0000-0000-000000000000}"/>
  <bookViews>
    <workbookView xWindow="15" yWindow="4110" windowWidth="16200" windowHeight="18540" xr2:uid="{00000000-000D-0000-FFFF-FFFF00000000}"/>
  </bookViews>
  <sheets>
    <sheet name="todayssatellite" sheetId="1" r:id="rId1"/>
    <sheet name="データチェック" sheetId="2" r:id="rId2"/>
  </sheets>
  <definedNames>
    <definedName name="_xlnm._FilterDatabase" localSheetId="0" hidden="1">todayssatellite!$A$1:$J$561</definedName>
  </definedNames>
  <calcPr calcId="19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70" i="1" l="1" a="1"/>
  <c r="E370" i="1" s="1"/>
  <c r="G370" i="1" s="1"/>
  <c r="C370" i="1"/>
  <c r="C291" i="1"/>
  <c r="C292" i="1"/>
  <c r="G291" i="1"/>
  <c r="G292" i="1"/>
  <c r="E438" i="1" a="1"/>
  <c r="E438" i="1" s="1"/>
  <c r="G438" i="1" s="1"/>
  <c r="C438" i="1"/>
  <c r="E437" i="1" a="1"/>
  <c r="E437" i="1" s="1"/>
  <c r="G437" i="1" s="1"/>
  <c r="C437" i="1"/>
  <c r="G483" i="1"/>
  <c r="C483" i="1"/>
  <c r="G482" i="1"/>
  <c r="C482" i="1"/>
  <c r="G54" i="1"/>
  <c r="C54" i="1"/>
  <c r="G53" i="1"/>
  <c r="C53" i="1"/>
  <c r="C298" i="1"/>
  <c r="E298" i="1" a="1"/>
  <c r="E298" i="1" s="1"/>
  <c r="G298" i="1" s="1"/>
  <c r="C299" i="1"/>
  <c r="G299" i="1"/>
  <c r="G296" i="1" l="1"/>
  <c r="C297" i="1"/>
  <c r="C296" i="1"/>
  <c r="G297" i="1"/>
  <c r="C58" i="1"/>
  <c r="G58" i="1"/>
  <c r="G57" i="1"/>
  <c r="C57" i="1"/>
  <c r="C377" i="1"/>
  <c r="G377" i="1"/>
  <c r="G376" i="1"/>
  <c r="E400" i="1" a="1"/>
  <c r="E400" i="1" s="1"/>
  <c r="G400" i="1" s="1"/>
  <c r="G399" i="1"/>
  <c r="C376" i="1"/>
  <c r="C400" i="1"/>
  <c r="C399" i="1"/>
  <c r="G144" i="1"/>
  <c r="G143" i="1"/>
  <c r="G95" i="1"/>
  <c r="G94" i="1"/>
  <c r="C95" i="1"/>
  <c r="C94" i="1"/>
  <c r="C144" i="1"/>
  <c r="C143" i="1"/>
  <c r="G520" i="1"/>
  <c r="C520" i="1"/>
  <c r="G544" i="1"/>
  <c r="G539" i="1"/>
  <c r="G538" i="1"/>
  <c r="G536" i="1"/>
  <c r="G523" i="1"/>
  <c r="G522" i="1"/>
  <c r="G521" i="1"/>
  <c r="G519" i="1"/>
  <c r="G511" i="1"/>
  <c r="G509" i="1"/>
  <c r="G415" i="1"/>
  <c r="G411" i="1"/>
  <c r="G406" i="1"/>
  <c r="G404" i="1"/>
  <c r="G395" i="1"/>
  <c r="G363" i="1"/>
  <c r="G361" i="1"/>
  <c r="G359" i="1"/>
  <c r="G307" i="1"/>
  <c r="G301" i="1"/>
  <c r="G300" i="1"/>
  <c r="G233" i="1"/>
  <c r="G221" i="1"/>
  <c r="G220" i="1"/>
  <c r="G219" i="1"/>
  <c r="G218" i="1"/>
  <c r="G217" i="1"/>
  <c r="G215" i="1"/>
  <c r="G168" i="1"/>
  <c r="G134" i="1"/>
  <c r="G131" i="1"/>
  <c r="G123" i="1"/>
  <c r="G121" i="1"/>
  <c r="G119" i="1"/>
  <c r="G117" i="1"/>
  <c r="G113" i="1"/>
  <c r="G110" i="1"/>
  <c r="G106" i="1"/>
  <c r="G102" i="1"/>
  <c r="G96" i="1"/>
  <c r="G86" i="1"/>
  <c r="G76" i="1"/>
  <c r="G75" i="1"/>
  <c r="G68" i="1"/>
  <c r="G38" i="1"/>
  <c r="G29" i="1"/>
  <c r="G26" i="1"/>
  <c r="G13" i="1"/>
  <c r="G9" i="1"/>
  <c r="E56" i="1" a="1"/>
  <c r="E56" i="1" s="1"/>
  <c r="G56" i="1" s="1"/>
  <c r="E560" i="1" a="1"/>
  <c r="E560" i="1" s="1"/>
  <c r="G560" i="1" s="1"/>
  <c r="E559" i="1" a="1"/>
  <c r="E559" i="1" s="1"/>
  <c r="G559" i="1" s="1"/>
  <c r="E558" i="1" a="1"/>
  <c r="E558" i="1" s="1"/>
  <c r="G558" i="1" s="1"/>
  <c r="E557" i="1" a="1"/>
  <c r="E557" i="1" s="1"/>
  <c r="G557" i="1" s="1"/>
  <c r="E556" i="1" a="1"/>
  <c r="E556" i="1" s="1"/>
  <c r="G556" i="1" s="1"/>
  <c r="E555" i="1" a="1"/>
  <c r="E555" i="1" s="1"/>
  <c r="G555" i="1" s="1"/>
  <c r="E554" i="1" a="1"/>
  <c r="E554" i="1" s="1"/>
  <c r="G554" i="1" s="1"/>
  <c r="E553" i="1" a="1"/>
  <c r="E553" i="1" s="1"/>
  <c r="G553" i="1" s="1"/>
  <c r="E552" i="1" a="1"/>
  <c r="E552" i="1" s="1"/>
  <c r="G552" i="1" s="1"/>
  <c r="E551" i="1" a="1"/>
  <c r="E551" i="1" s="1"/>
  <c r="G551" i="1" s="1"/>
  <c r="E550" i="1" a="1"/>
  <c r="E550" i="1" s="1"/>
  <c r="G550" i="1" s="1"/>
  <c r="E549" i="1" a="1"/>
  <c r="E549" i="1" s="1"/>
  <c r="G549" i="1" s="1"/>
  <c r="E548" i="1" a="1"/>
  <c r="E548" i="1" s="1"/>
  <c r="G548" i="1" s="1"/>
  <c r="E547" i="1" a="1"/>
  <c r="E547" i="1" s="1"/>
  <c r="G547" i="1" s="1"/>
  <c r="E546" i="1" a="1"/>
  <c r="E546" i="1" s="1"/>
  <c r="G546" i="1" s="1"/>
  <c r="E545" i="1" a="1"/>
  <c r="E545" i="1" s="1"/>
  <c r="E543" i="1" a="1"/>
  <c r="E543" i="1" s="1"/>
  <c r="G543" i="1" s="1"/>
  <c r="E542" i="1" a="1"/>
  <c r="E542" i="1" s="1"/>
  <c r="G542" i="1" s="1"/>
  <c r="E541" i="1" a="1"/>
  <c r="E541" i="1" s="1"/>
  <c r="G541" i="1" s="1"/>
  <c r="E540" i="1" a="1"/>
  <c r="E540" i="1" s="1"/>
  <c r="G540" i="1" s="1"/>
  <c r="E537" i="1" a="1"/>
  <c r="E537" i="1" s="1"/>
  <c r="G537" i="1" s="1"/>
  <c r="E535" i="1" a="1"/>
  <c r="E535" i="1" s="1"/>
  <c r="G535" i="1" s="1"/>
  <c r="E534" i="1" a="1"/>
  <c r="E534" i="1" s="1"/>
  <c r="G534" i="1" s="1"/>
  <c r="E533" i="1" a="1"/>
  <c r="E533" i="1" s="1"/>
  <c r="G533" i="1" s="1"/>
  <c r="E532" i="1" a="1"/>
  <c r="E532" i="1" s="1"/>
  <c r="G532" i="1" s="1"/>
  <c r="E531" i="1" a="1"/>
  <c r="E531" i="1" s="1"/>
  <c r="G531" i="1" s="1"/>
  <c r="E530" i="1" a="1"/>
  <c r="E530" i="1" s="1"/>
  <c r="G530" i="1" s="1"/>
  <c r="E529" i="1" a="1"/>
  <c r="E529" i="1" s="1"/>
  <c r="G529" i="1" s="1"/>
  <c r="E528" i="1" a="1"/>
  <c r="E528" i="1" s="1"/>
  <c r="G528" i="1" s="1"/>
  <c r="E527" i="1" a="1"/>
  <c r="E527" i="1" s="1"/>
  <c r="G527" i="1" s="1"/>
  <c r="E526" i="1" a="1"/>
  <c r="E526" i="1" s="1"/>
  <c r="G526" i="1" s="1"/>
  <c r="E525" i="1" a="1"/>
  <c r="E525" i="1" s="1"/>
  <c r="G525" i="1" s="1"/>
  <c r="E524" i="1" a="1"/>
  <c r="E524" i="1" s="1"/>
  <c r="G524" i="1" s="1"/>
  <c r="E518" i="1" a="1"/>
  <c r="E518" i="1" s="1"/>
  <c r="G518" i="1" s="1"/>
  <c r="E517" i="1" a="1"/>
  <c r="E517" i="1" s="1"/>
  <c r="G517" i="1" s="1"/>
  <c r="E516" i="1" a="1"/>
  <c r="E516" i="1" s="1"/>
  <c r="G516" i="1" s="1"/>
  <c r="E515" i="1" a="1"/>
  <c r="E515" i="1" s="1"/>
  <c r="G515" i="1" s="1"/>
  <c r="E514" i="1" a="1"/>
  <c r="E514" i="1" s="1"/>
  <c r="G514" i="1" s="1"/>
  <c r="E513" i="1" a="1"/>
  <c r="E513" i="1" s="1"/>
  <c r="G513" i="1" s="1"/>
  <c r="E512" i="1" a="1"/>
  <c r="E512" i="1" s="1"/>
  <c r="E510" i="1" a="1"/>
  <c r="E510" i="1" s="1"/>
  <c r="G510" i="1" s="1"/>
  <c r="E508" i="1" a="1"/>
  <c r="E508" i="1" s="1"/>
  <c r="G508" i="1" s="1"/>
  <c r="E507" i="1" a="1"/>
  <c r="E507" i="1" s="1"/>
  <c r="G507" i="1" s="1"/>
  <c r="E506" i="1" a="1"/>
  <c r="E506" i="1" s="1"/>
  <c r="G506" i="1" s="1"/>
  <c r="E505" i="1" a="1"/>
  <c r="E505" i="1" s="1"/>
  <c r="G505" i="1" s="1"/>
  <c r="E504" i="1" a="1"/>
  <c r="E504" i="1" s="1"/>
  <c r="G504" i="1" s="1"/>
  <c r="E503" i="1" a="1"/>
  <c r="E503" i="1" s="1"/>
  <c r="G503" i="1" s="1"/>
  <c r="E502" i="1" a="1"/>
  <c r="E502" i="1" s="1"/>
  <c r="G502" i="1" s="1"/>
  <c r="E501" i="1" a="1"/>
  <c r="E501" i="1" s="1"/>
  <c r="G501" i="1" s="1"/>
  <c r="E500" i="1" a="1"/>
  <c r="E500" i="1" s="1"/>
  <c r="G500" i="1" s="1"/>
  <c r="E499" i="1" a="1"/>
  <c r="E499" i="1" s="1"/>
  <c r="G499" i="1" s="1"/>
  <c r="E498" i="1" a="1"/>
  <c r="E498" i="1" s="1"/>
  <c r="G498" i="1" s="1"/>
  <c r="E497" i="1" a="1"/>
  <c r="E497" i="1" s="1"/>
  <c r="G497" i="1" s="1"/>
  <c r="E496" i="1" a="1"/>
  <c r="E496" i="1" s="1"/>
  <c r="G496" i="1" s="1"/>
  <c r="E495" i="1" a="1"/>
  <c r="E495" i="1" s="1"/>
  <c r="G495" i="1" s="1"/>
  <c r="E494" i="1" a="1"/>
  <c r="E494" i="1" s="1"/>
  <c r="G494" i="1" s="1"/>
  <c r="E493" i="1" a="1"/>
  <c r="E493" i="1" s="1"/>
  <c r="G493" i="1" s="1"/>
  <c r="E492" i="1" a="1"/>
  <c r="E492" i="1" s="1"/>
  <c r="G492" i="1" s="1"/>
  <c r="E491" i="1" a="1"/>
  <c r="E491" i="1" s="1"/>
  <c r="G491" i="1" s="1"/>
  <c r="E490" i="1" a="1"/>
  <c r="E490" i="1" s="1"/>
  <c r="G490" i="1" s="1"/>
  <c r="E489" i="1" a="1"/>
  <c r="E489" i="1" s="1"/>
  <c r="G489" i="1" s="1"/>
  <c r="E488" i="1" a="1"/>
  <c r="E488" i="1" s="1"/>
  <c r="G488" i="1" s="1"/>
  <c r="E487" i="1" a="1"/>
  <c r="E487" i="1" s="1"/>
  <c r="G487" i="1" s="1"/>
  <c r="E486" i="1" a="1"/>
  <c r="E486" i="1" s="1"/>
  <c r="G486" i="1" s="1"/>
  <c r="E485" i="1" a="1"/>
  <c r="E485" i="1" s="1"/>
  <c r="G485" i="1" s="1"/>
  <c r="E484" i="1" a="1"/>
  <c r="E484" i="1" s="1"/>
  <c r="G484" i="1" s="1"/>
  <c r="E481" i="1" a="1"/>
  <c r="E481" i="1" s="1"/>
  <c r="G481" i="1" s="1"/>
  <c r="E480" i="1" a="1"/>
  <c r="E480" i="1" s="1"/>
  <c r="G480" i="1" s="1"/>
  <c r="E479" i="1" a="1"/>
  <c r="E479" i="1" s="1"/>
  <c r="G479" i="1" s="1"/>
  <c r="E478" i="1" a="1"/>
  <c r="E478" i="1" s="1"/>
  <c r="G478" i="1" s="1"/>
  <c r="E477" i="1" a="1"/>
  <c r="E477" i="1" s="1"/>
  <c r="G477" i="1" s="1"/>
  <c r="E476" i="1" a="1"/>
  <c r="E476" i="1" s="1"/>
  <c r="G476" i="1" s="1"/>
  <c r="E475" i="1" a="1"/>
  <c r="E475" i="1" s="1"/>
  <c r="G475" i="1" s="1"/>
  <c r="E474" i="1" a="1"/>
  <c r="E474" i="1" s="1"/>
  <c r="G474" i="1" s="1"/>
  <c r="E473" i="1" a="1"/>
  <c r="E473" i="1" s="1"/>
  <c r="G473" i="1" s="1"/>
  <c r="E472" i="1" a="1"/>
  <c r="E472" i="1" s="1"/>
  <c r="G472" i="1" s="1"/>
  <c r="E471" i="1" a="1"/>
  <c r="E471" i="1" s="1"/>
  <c r="G471" i="1" s="1"/>
  <c r="E470" i="1" a="1"/>
  <c r="E470" i="1" s="1"/>
  <c r="G470" i="1" s="1"/>
  <c r="E469" i="1" a="1"/>
  <c r="E469" i="1" s="1"/>
  <c r="G469" i="1" s="1"/>
  <c r="E468" i="1" a="1"/>
  <c r="E468" i="1" s="1"/>
  <c r="G468" i="1" s="1"/>
  <c r="E467" i="1" a="1"/>
  <c r="E467" i="1" s="1"/>
  <c r="G467" i="1" s="1"/>
  <c r="E466" i="1" a="1"/>
  <c r="E466" i="1" s="1"/>
  <c r="G466" i="1" s="1"/>
  <c r="E465" i="1" a="1"/>
  <c r="E465" i="1" s="1"/>
  <c r="G465" i="1" s="1"/>
  <c r="E464" i="1" a="1"/>
  <c r="E464" i="1" s="1"/>
  <c r="G464" i="1" s="1"/>
  <c r="E463" i="1" a="1"/>
  <c r="E463" i="1" s="1"/>
  <c r="G463" i="1" s="1"/>
  <c r="E462" i="1" a="1"/>
  <c r="E462" i="1" s="1"/>
  <c r="G462" i="1" s="1"/>
  <c r="E461" i="1" a="1"/>
  <c r="E461" i="1" s="1"/>
  <c r="G461" i="1" s="1"/>
  <c r="E460" i="1" a="1"/>
  <c r="E460" i="1" s="1"/>
  <c r="G460" i="1" s="1"/>
  <c r="E459" i="1" a="1"/>
  <c r="E459" i="1" s="1"/>
  <c r="G459" i="1" s="1"/>
  <c r="E458" i="1" a="1"/>
  <c r="E458" i="1" s="1"/>
  <c r="G458" i="1" s="1"/>
  <c r="E457" i="1" a="1"/>
  <c r="E457" i="1" s="1"/>
  <c r="G457" i="1" s="1"/>
  <c r="E456" i="1" a="1"/>
  <c r="E456" i="1" s="1"/>
  <c r="G456" i="1" s="1"/>
  <c r="E455" i="1" a="1"/>
  <c r="E455" i="1" s="1"/>
  <c r="G455" i="1" s="1"/>
  <c r="E454" i="1" a="1"/>
  <c r="E454" i="1" s="1"/>
  <c r="G454" i="1" s="1"/>
  <c r="E453" i="1" a="1"/>
  <c r="E453" i="1" s="1"/>
  <c r="G453" i="1" s="1"/>
  <c r="E452" i="1" a="1"/>
  <c r="E452" i="1" s="1"/>
  <c r="G452" i="1" s="1"/>
  <c r="E451" i="1" a="1"/>
  <c r="E451" i="1" s="1"/>
  <c r="G451" i="1" s="1"/>
  <c r="E450" i="1" a="1"/>
  <c r="E450" i="1" s="1"/>
  <c r="G450" i="1" s="1"/>
  <c r="E449" i="1" a="1"/>
  <c r="E449" i="1" s="1"/>
  <c r="G449" i="1" s="1"/>
  <c r="E448" i="1" a="1"/>
  <c r="E448" i="1" s="1"/>
  <c r="G448" i="1" s="1"/>
  <c r="E447" i="1" a="1"/>
  <c r="E447" i="1" s="1"/>
  <c r="G447" i="1" s="1"/>
  <c r="E446" i="1" a="1"/>
  <c r="E446" i="1" s="1"/>
  <c r="G446" i="1" s="1"/>
  <c r="E445" i="1" a="1"/>
  <c r="E445" i="1" s="1"/>
  <c r="G445" i="1" s="1"/>
  <c r="E444" i="1" a="1"/>
  <c r="E444" i="1" s="1"/>
  <c r="G444" i="1" s="1"/>
  <c r="E443" i="1" a="1"/>
  <c r="E443" i="1" s="1"/>
  <c r="G443" i="1" s="1"/>
  <c r="E442" i="1" a="1"/>
  <c r="E442" i="1" s="1"/>
  <c r="G442" i="1" s="1"/>
  <c r="E441" i="1" a="1"/>
  <c r="E441" i="1" s="1"/>
  <c r="G441" i="1" s="1"/>
  <c r="E440" i="1" a="1"/>
  <c r="E440" i="1" s="1"/>
  <c r="G440" i="1" s="1"/>
  <c r="E439" i="1" a="1"/>
  <c r="E439" i="1" s="1"/>
  <c r="G439" i="1" s="1"/>
  <c r="E436" i="1" a="1"/>
  <c r="E436" i="1" s="1"/>
  <c r="G436" i="1" s="1"/>
  <c r="E435" i="1" a="1"/>
  <c r="E435" i="1" s="1"/>
  <c r="G435" i="1" s="1"/>
  <c r="E434" i="1" a="1"/>
  <c r="E434" i="1" s="1"/>
  <c r="G434" i="1" s="1"/>
  <c r="E433" i="1" a="1"/>
  <c r="E433" i="1" s="1"/>
  <c r="G433" i="1" s="1"/>
  <c r="E432" i="1" a="1"/>
  <c r="E432" i="1" s="1"/>
  <c r="G432" i="1" s="1"/>
  <c r="E431" i="1" a="1"/>
  <c r="E431" i="1" s="1"/>
  <c r="G431" i="1" s="1"/>
  <c r="E430" i="1" a="1"/>
  <c r="E430" i="1" s="1"/>
  <c r="G430" i="1" s="1"/>
  <c r="E429" i="1" a="1"/>
  <c r="E429" i="1" s="1"/>
  <c r="G429" i="1" s="1"/>
  <c r="E428" i="1" a="1"/>
  <c r="E428" i="1" s="1"/>
  <c r="G428" i="1" s="1"/>
  <c r="E427" i="1" a="1"/>
  <c r="E427" i="1" s="1"/>
  <c r="G427" i="1" s="1"/>
  <c r="E426" i="1" a="1"/>
  <c r="E426" i="1" s="1"/>
  <c r="G426" i="1" s="1"/>
  <c r="E425" i="1" a="1"/>
  <c r="E425" i="1" s="1"/>
  <c r="G425" i="1" s="1"/>
  <c r="E424" i="1" a="1"/>
  <c r="E424" i="1" s="1"/>
  <c r="G424" i="1" s="1"/>
  <c r="E423" i="1" a="1"/>
  <c r="E423" i="1" s="1"/>
  <c r="G423" i="1" s="1"/>
  <c r="E422" i="1" a="1"/>
  <c r="E422" i="1" s="1"/>
  <c r="G422" i="1" s="1"/>
  <c r="E421" i="1" a="1"/>
  <c r="E421" i="1" s="1"/>
  <c r="G421" i="1" s="1"/>
  <c r="E420" i="1" a="1"/>
  <c r="E420" i="1" s="1"/>
  <c r="G420" i="1" s="1"/>
  <c r="E419" i="1" a="1"/>
  <c r="E419" i="1" s="1"/>
  <c r="G419" i="1" s="1"/>
  <c r="E418" i="1" a="1"/>
  <c r="E418" i="1" s="1"/>
  <c r="G418" i="1" s="1"/>
  <c r="E417" i="1" a="1"/>
  <c r="E417" i="1" s="1"/>
  <c r="G417" i="1" s="1"/>
  <c r="E416" i="1" a="1"/>
  <c r="E416" i="1" s="1"/>
  <c r="E414" i="1" a="1"/>
  <c r="E414" i="1" s="1"/>
  <c r="G414" i="1" s="1"/>
  <c r="E413" i="1" a="1"/>
  <c r="E413" i="1" s="1"/>
  <c r="G413" i="1" s="1"/>
  <c r="E412" i="1" a="1"/>
  <c r="E412" i="1" s="1"/>
  <c r="G412" i="1" s="1"/>
  <c r="E410" i="1" a="1"/>
  <c r="E410" i="1" s="1"/>
  <c r="G410" i="1" s="1"/>
  <c r="E409" i="1" a="1"/>
  <c r="E409" i="1" s="1"/>
  <c r="E408" i="1" a="1"/>
  <c r="E408" i="1" s="1"/>
  <c r="G408" i="1" s="1"/>
  <c r="E407" i="1" a="1"/>
  <c r="E407" i="1" s="1"/>
  <c r="G407" i="1" s="1"/>
  <c r="E405" i="1" a="1"/>
  <c r="E405" i="1" s="1"/>
  <c r="G405" i="1" s="1"/>
  <c r="E403" i="1" a="1"/>
  <c r="E403" i="1" s="1"/>
  <c r="G403" i="1" s="1"/>
  <c r="E402" i="1" a="1"/>
  <c r="E402" i="1" s="1"/>
  <c r="G402" i="1" s="1"/>
  <c r="E401" i="1" a="1"/>
  <c r="E401" i="1" s="1"/>
  <c r="G401" i="1" s="1"/>
  <c r="E398" i="1" a="1"/>
  <c r="E398" i="1" s="1"/>
  <c r="G398" i="1" s="1"/>
  <c r="E397" i="1" a="1"/>
  <c r="E397" i="1" s="1"/>
  <c r="G397" i="1" s="1"/>
  <c r="E396" i="1" a="1"/>
  <c r="E396" i="1" s="1"/>
  <c r="G396" i="1" s="1"/>
  <c r="E394" i="1" a="1"/>
  <c r="E394" i="1" s="1"/>
  <c r="G394" i="1" s="1"/>
  <c r="E393" i="1" a="1"/>
  <c r="E393" i="1" s="1"/>
  <c r="G393" i="1" s="1"/>
  <c r="E392" i="1" a="1"/>
  <c r="E392" i="1" s="1"/>
  <c r="G392" i="1" s="1"/>
  <c r="E391" i="1" a="1"/>
  <c r="E391" i="1" s="1"/>
  <c r="E390" i="1" a="1"/>
  <c r="E390" i="1" s="1"/>
  <c r="G390" i="1" s="1"/>
  <c r="E389" i="1" a="1"/>
  <c r="E389" i="1" s="1"/>
  <c r="G389" i="1" s="1"/>
  <c r="E388" i="1" a="1"/>
  <c r="E388" i="1" s="1"/>
  <c r="G388" i="1" s="1"/>
  <c r="E387" i="1" a="1"/>
  <c r="E387" i="1" s="1"/>
  <c r="G387" i="1" s="1"/>
  <c r="E386" i="1" a="1"/>
  <c r="E386" i="1" s="1"/>
  <c r="G386" i="1" s="1"/>
  <c r="E385" i="1" a="1"/>
  <c r="E385" i="1" s="1"/>
  <c r="G385" i="1" s="1"/>
  <c r="E384" i="1" a="1"/>
  <c r="E384" i="1" s="1"/>
  <c r="G384" i="1" s="1"/>
  <c r="E383" i="1" a="1"/>
  <c r="E383" i="1" s="1"/>
  <c r="G383" i="1" s="1"/>
  <c r="E382" i="1" a="1"/>
  <c r="E382" i="1" s="1"/>
  <c r="G382" i="1" s="1"/>
  <c r="E381" i="1" a="1"/>
  <c r="E381" i="1" s="1"/>
  <c r="G381" i="1" s="1"/>
  <c r="E380" i="1" a="1"/>
  <c r="E380" i="1" s="1"/>
  <c r="G380" i="1" s="1"/>
  <c r="E379" i="1" a="1"/>
  <c r="E379" i="1" s="1"/>
  <c r="G379" i="1" s="1"/>
  <c r="E378" i="1" a="1"/>
  <c r="E378" i="1" s="1"/>
  <c r="G378" i="1" s="1"/>
  <c r="E375" i="1" a="1"/>
  <c r="E375" i="1" s="1"/>
  <c r="G375" i="1" s="1"/>
  <c r="E374" i="1" a="1"/>
  <c r="E374" i="1" s="1"/>
  <c r="G374" i="1" s="1"/>
  <c r="E373" i="1" a="1"/>
  <c r="E373" i="1" s="1"/>
  <c r="G373" i="1" s="1"/>
  <c r="E372" i="1" a="1"/>
  <c r="E372" i="1" s="1"/>
  <c r="G372" i="1" s="1"/>
  <c r="E371" i="1" a="1"/>
  <c r="E371" i="1" s="1"/>
  <c r="G371" i="1" s="1"/>
  <c r="E369" i="1" a="1"/>
  <c r="E369" i="1" s="1"/>
  <c r="G369" i="1" s="1"/>
  <c r="E368" i="1" a="1"/>
  <c r="E368" i="1" s="1"/>
  <c r="G368" i="1" s="1"/>
  <c r="E367" i="1" a="1"/>
  <c r="E367" i="1" s="1"/>
  <c r="G367" i="1" s="1"/>
  <c r="E366" i="1" a="1"/>
  <c r="E366" i="1" s="1"/>
  <c r="G366" i="1" s="1"/>
  <c r="E365" i="1" a="1"/>
  <c r="E365" i="1" s="1"/>
  <c r="G365" i="1" s="1"/>
  <c r="E364" i="1" a="1"/>
  <c r="E364" i="1" s="1"/>
  <c r="E362" i="1" a="1"/>
  <c r="E362" i="1" s="1"/>
  <c r="G362" i="1" s="1"/>
  <c r="E360" i="1" a="1"/>
  <c r="E360" i="1" s="1"/>
  <c r="G360" i="1" s="1"/>
  <c r="E358" i="1" a="1"/>
  <c r="E358" i="1" s="1"/>
  <c r="G358" i="1" s="1"/>
  <c r="E357" i="1" a="1"/>
  <c r="E357" i="1" s="1"/>
  <c r="G357" i="1" s="1"/>
  <c r="E356" i="1" a="1"/>
  <c r="E356" i="1" s="1"/>
  <c r="G356" i="1" s="1"/>
  <c r="E355" i="1" a="1"/>
  <c r="E355" i="1" s="1"/>
  <c r="G355" i="1" s="1"/>
  <c r="E354" i="1" a="1"/>
  <c r="E354" i="1" s="1"/>
  <c r="G354" i="1" s="1"/>
  <c r="E353" i="1" a="1"/>
  <c r="E353" i="1" s="1"/>
  <c r="G353" i="1" s="1"/>
  <c r="E352" i="1" a="1"/>
  <c r="E352" i="1" s="1"/>
  <c r="G352" i="1" s="1"/>
  <c r="E351" i="1" a="1"/>
  <c r="E351" i="1" s="1"/>
  <c r="G351" i="1" s="1"/>
  <c r="E350" i="1" a="1"/>
  <c r="E350" i="1" s="1"/>
  <c r="G350" i="1" s="1"/>
  <c r="E349" i="1" a="1"/>
  <c r="E349" i="1" s="1"/>
  <c r="G349" i="1" s="1"/>
  <c r="E348" i="1" a="1"/>
  <c r="E348" i="1" s="1"/>
  <c r="G348" i="1" s="1"/>
  <c r="E347" i="1" a="1"/>
  <c r="E347" i="1" s="1"/>
  <c r="G347" i="1" s="1"/>
  <c r="E346" i="1" a="1"/>
  <c r="E346" i="1" s="1"/>
  <c r="G346" i="1" s="1"/>
  <c r="E345" i="1" a="1"/>
  <c r="E345" i="1" s="1"/>
  <c r="G345" i="1" s="1"/>
  <c r="E344" i="1" a="1"/>
  <c r="E344" i="1" s="1"/>
  <c r="G344" i="1" s="1"/>
  <c r="E343" i="1" a="1"/>
  <c r="E343" i="1" s="1"/>
  <c r="G343" i="1" s="1"/>
  <c r="E342" i="1" a="1"/>
  <c r="E342" i="1" s="1"/>
  <c r="G342" i="1" s="1"/>
  <c r="E341" i="1" a="1"/>
  <c r="E341" i="1" s="1"/>
  <c r="G341" i="1" s="1"/>
  <c r="E340" i="1" a="1"/>
  <c r="E340" i="1" s="1"/>
  <c r="G340" i="1" s="1"/>
  <c r="E339" i="1" a="1"/>
  <c r="E339" i="1" s="1"/>
  <c r="G339" i="1" s="1"/>
  <c r="E338" i="1" a="1"/>
  <c r="E338" i="1" s="1"/>
  <c r="G338" i="1" s="1"/>
  <c r="E337" i="1" a="1"/>
  <c r="E337" i="1" s="1"/>
  <c r="G337" i="1" s="1"/>
  <c r="E336" i="1" a="1"/>
  <c r="E336" i="1" s="1"/>
  <c r="G336" i="1" s="1"/>
  <c r="E335" i="1" a="1"/>
  <c r="E335" i="1" s="1"/>
  <c r="G335" i="1" s="1"/>
  <c r="E334" i="1" a="1"/>
  <c r="E334" i="1" s="1"/>
  <c r="G334" i="1" s="1"/>
  <c r="E333" i="1" a="1"/>
  <c r="E333" i="1" s="1"/>
  <c r="G333" i="1" s="1"/>
  <c r="E332" i="1" a="1"/>
  <c r="E332" i="1" s="1"/>
  <c r="G332" i="1" s="1"/>
  <c r="E331" i="1" a="1"/>
  <c r="E331" i="1" s="1"/>
  <c r="G331" i="1" s="1"/>
  <c r="E330" i="1" a="1"/>
  <c r="E330" i="1" s="1"/>
  <c r="G330" i="1" s="1"/>
  <c r="E329" i="1" a="1"/>
  <c r="E329" i="1" s="1"/>
  <c r="G329" i="1" s="1"/>
  <c r="E328" i="1" a="1"/>
  <c r="E328" i="1" s="1"/>
  <c r="G328" i="1" s="1"/>
  <c r="E327" i="1" a="1"/>
  <c r="E327" i="1" s="1"/>
  <c r="G327" i="1" s="1"/>
  <c r="E326" i="1" a="1"/>
  <c r="E326" i="1" s="1"/>
  <c r="G326" i="1" s="1"/>
  <c r="E325" i="1" a="1"/>
  <c r="E325" i="1" s="1"/>
  <c r="G325" i="1" s="1"/>
  <c r="E324" i="1" a="1"/>
  <c r="E324" i="1" s="1"/>
  <c r="G324" i="1" s="1"/>
  <c r="E323" i="1" a="1"/>
  <c r="E323" i="1" s="1"/>
  <c r="G323" i="1" s="1"/>
  <c r="E322" i="1" a="1"/>
  <c r="E322" i="1" s="1"/>
  <c r="G322" i="1" s="1"/>
  <c r="E321" i="1" a="1"/>
  <c r="E321" i="1" s="1"/>
  <c r="G321" i="1" s="1"/>
  <c r="E320" i="1" a="1"/>
  <c r="E320" i="1" s="1"/>
  <c r="G320" i="1" s="1"/>
  <c r="E319" i="1" a="1"/>
  <c r="E319" i="1" s="1"/>
  <c r="G319" i="1" s="1"/>
  <c r="E318" i="1" a="1"/>
  <c r="E318" i="1" s="1"/>
  <c r="G318" i="1" s="1"/>
  <c r="E317" i="1" a="1"/>
  <c r="E317" i="1" s="1"/>
  <c r="G317" i="1" s="1"/>
  <c r="E316" i="1" a="1"/>
  <c r="E316" i="1" s="1"/>
  <c r="G316" i="1" s="1"/>
  <c r="E315" i="1" a="1"/>
  <c r="E315" i="1" s="1"/>
  <c r="G315" i="1" s="1"/>
  <c r="E314" i="1" a="1"/>
  <c r="E314" i="1" s="1"/>
  <c r="G314" i="1" s="1"/>
  <c r="E313" i="1" a="1"/>
  <c r="E313" i="1" s="1"/>
  <c r="G313" i="1" s="1"/>
  <c r="E312" i="1" a="1"/>
  <c r="E312" i="1" s="1"/>
  <c r="G312" i="1" s="1"/>
  <c r="E311" i="1" a="1"/>
  <c r="E311" i="1" s="1"/>
  <c r="G311" i="1" s="1"/>
  <c r="E310" i="1" a="1"/>
  <c r="E310" i="1" s="1"/>
  <c r="G310" i="1" s="1"/>
  <c r="E309" i="1" a="1"/>
  <c r="E309" i="1" s="1"/>
  <c r="G309" i="1" s="1"/>
  <c r="E308" i="1" a="1"/>
  <c r="E308" i="1" s="1"/>
  <c r="G308" i="1" s="1"/>
  <c r="E306" i="1" a="1"/>
  <c r="E306" i="1" s="1"/>
  <c r="G306" i="1" s="1"/>
  <c r="E305" i="1" a="1"/>
  <c r="E305" i="1" s="1"/>
  <c r="G305" i="1" s="1"/>
  <c r="E304" i="1" a="1"/>
  <c r="E304" i="1" s="1"/>
  <c r="G304" i="1" s="1"/>
  <c r="E303" i="1" a="1"/>
  <c r="E303" i="1" s="1"/>
  <c r="G303" i="1" s="1"/>
  <c r="E302" i="1" a="1"/>
  <c r="E302" i="1" s="1"/>
  <c r="G302" i="1" s="1"/>
  <c r="E295" i="1" a="1"/>
  <c r="E295" i="1" s="1"/>
  <c r="G295" i="1" s="1"/>
  <c r="E294" i="1" a="1"/>
  <c r="E294" i="1" s="1"/>
  <c r="G294" i="1" s="1"/>
  <c r="E293" i="1" a="1"/>
  <c r="E293" i="1" s="1"/>
  <c r="G293" i="1" s="1"/>
  <c r="E290" i="1" a="1"/>
  <c r="E290" i="1" s="1"/>
  <c r="G290" i="1" s="1"/>
  <c r="E289" i="1" a="1"/>
  <c r="E289" i="1" s="1"/>
  <c r="G289" i="1" s="1"/>
  <c r="E288" i="1" a="1"/>
  <c r="E288" i="1" s="1"/>
  <c r="G288" i="1" s="1"/>
  <c r="E287" i="1" a="1"/>
  <c r="E287" i="1" s="1"/>
  <c r="G287" i="1" s="1"/>
  <c r="E286" i="1" a="1"/>
  <c r="E286" i="1" s="1"/>
  <c r="G286" i="1" s="1"/>
  <c r="E285" i="1" a="1"/>
  <c r="E285" i="1" s="1"/>
  <c r="G285" i="1" s="1"/>
  <c r="E284" i="1" a="1"/>
  <c r="E284" i="1" s="1"/>
  <c r="G284" i="1" s="1"/>
  <c r="E283" i="1" a="1"/>
  <c r="E283" i="1" s="1"/>
  <c r="G283" i="1" s="1"/>
  <c r="E282" i="1" a="1"/>
  <c r="E282" i="1" s="1"/>
  <c r="G282" i="1" s="1"/>
  <c r="E281" i="1" a="1"/>
  <c r="E281" i="1" s="1"/>
  <c r="G281" i="1" s="1"/>
  <c r="E280" i="1" a="1"/>
  <c r="E280" i="1" s="1"/>
  <c r="G280" i="1" s="1"/>
  <c r="E279" i="1" a="1"/>
  <c r="E279" i="1" s="1"/>
  <c r="G279" i="1" s="1"/>
  <c r="E278" i="1" a="1"/>
  <c r="E278" i="1" s="1"/>
  <c r="G278" i="1" s="1"/>
  <c r="E277" i="1" a="1"/>
  <c r="E277" i="1" s="1"/>
  <c r="G277" i="1" s="1"/>
  <c r="E276" i="1" a="1"/>
  <c r="E276" i="1" s="1"/>
  <c r="G276" i="1" s="1"/>
  <c r="E275" i="1" a="1"/>
  <c r="E275" i="1" s="1"/>
  <c r="G275" i="1" s="1"/>
  <c r="E274" i="1" a="1"/>
  <c r="E274" i="1" s="1"/>
  <c r="G274" i="1" s="1"/>
  <c r="E273" i="1" a="1"/>
  <c r="E273" i="1" s="1"/>
  <c r="G273" i="1" s="1"/>
  <c r="E272" i="1" a="1"/>
  <c r="E272" i="1" s="1"/>
  <c r="G272" i="1" s="1"/>
  <c r="E271" i="1" a="1"/>
  <c r="E271" i="1" s="1"/>
  <c r="G271" i="1" s="1"/>
  <c r="E270" i="1" a="1"/>
  <c r="E270" i="1" s="1"/>
  <c r="G270" i="1" s="1"/>
  <c r="E269" i="1" a="1"/>
  <c r="E269" i="1" s="1"/>
  <c r="G269" i="1" s="1"/>
  <c r="E268" i="1" a="1"/>
  <c r="E268" i="1" s="1"/>
  <c r="G268" i="1" s="1"/>
  <c r="E267" i="1" a="1"/>
  <c r="E267" i="1" s="1"/>
  <c r="G267" i="1" s="1"/>
  <c r="E266" i="1" a="1"/>
  <c r="E266" i="1" s="1"/>
  <c r="G266" i="1" s="1"/>
  <c r="E265" i="1" a="1"/>
  <c r="E265" i="1" s="1"/>
  <c r="G265" i="1" s="1"/>
  <c r="E264" i="1" a="1"/>
  <c r="E264" i="1" s="1"/>
  <c r="G264" i="1" s="1"/>
  <c r="E263" i="1" a="1"/>
  <c r="E263" i="1" s="1"/>
  <c r="G263" i="1" s="1"/>
  <c r="E262" i="1" a="1"/>
  <c r="E262" i="1" s="1"/>
  <c r="G262" i="1" s="1"/>
  <c r="E261" i="1" a="1"/>
  <c r="E261" i="1" s="1"/>
  <c r="G261" i="1" s="1"/>
  <c r="E260" i="1" a="1"/>
  <c r="E260" i="1" s="1"/>
  <c r="G260" i="1" s="1"/>
  <c r="E259" i="1" a="1"/>
  <c r="E259" i="1" s="1"/>
  <c r="G259" i="1" s="1"/>
  <c r="E258" i="1" a="1"/>
  <c r="E258" i="1" s="1"/>
  <c r="G258" i="1" s="1"/>
  <c r="E257" i="1" a="1"/>
  <c r="E257" i="1" s="1"/>
  <c r="G257" i="1" s="1"/>
  <c r="E256" i="1" a="1"/>
  <c r="E256" i="1" s="1"/>
  <c r="G256" i="1" s="1"/>
  <c r="E255" i="1" a="1"/>
  <c r="E255" i="1" s="1"/>
  <c r="G255" i="1" s="1"/>
  <c r="E254" i="1" a="1"/>
  <c r="E254" i="1" s="1"/>
  <c r="G254" i="1" s="1"/>
  <c r="E253" i="1" a="1"/>
  <c r="E253" i="1" s="1"/>
  <c r="G253" i="1" s="1"/>
  <c r="E252" i="1" a="1"/>
  <c r="E252" i="1" s="1"/>
  <c r="G252" i="1" s="1"/>
  <c r="E251" i="1" a="1"/>
  <c r="E251" i="1" s="1"/>
  <c r="G251" i="1" s="1"/>
  <c r="E250" i="1" a="1"/>
  <c r="E250" i="1" s="1"/>
  <c r="G250" i="1" s="1"/>
  <c r="E249" i="1" a="1"/>
  <c r="E249" i="1" s="1"/>
  <c r="G249" i="1" s="1"/>
  <c r="E248" i="1" a="1"/>
  <c r="E248" i="1" s="1"/>
  <c r="G248" i="1" s="1"/>
  <c r="E247" i="1" a="1"/>
  <c r="E247" i="1" s="1"/>
  <c r="G247" i="1" s="1"/>
  <c r="E246" i="1" a="1"/>
  <c r="E246" i="1" s="1"/>
  <c r="G246" i="1" s="1"/>
  <c r="E245" i="1" a="1"/>
  <c r="E245" i="1" s="1"/>
  <c r="G245" i="1" s="1"/>
  <c r="E244" i="1" a="1"/>
  <c r="E244" i="1" s="1"/>
  <c r="G244" i="1" s="1"/>
  <c r="E243" i="1" a="1"/>
  <c r="E243" i="1" s="1"/>
  <c r="G243" i="1" s="1"/>
  <c r="E242" i="1" a="1"/>
  <c r="E242" i="1" s="1"/>
  <c r="G242" i="1" s="1"/>
  <c r="E241" i="1" a="1"/>
  <c r="E241" i="1" s="1"/>
  <c r="G241" i="1" s="1"/>
  <c r="E240" i="1" a="1"/>
  <c r="E240" i="1" s="1"/>
  <c r="G240" i="1" s="1"/>
  <c r="E239" i="1" a="1"/>
  <c r="E239" i="1" s="1"/>
  <c r="G239" i="1" s="1"/>
  <c r="E238" i="1" a="1"/>
  <c r="E238" i="1" s="1"/>
  <c r="G238" i="1" s="1"/>
  <c r="E237" i="1" a="1"/>
  <c r="E237" i="1" s="1"/>
  <c r="G237" i="1" s="1"/>
  <c r="E236" i="1" a="1"/>
  <c r="E236" i="1" s="1"/>
  <c r="G236" i="1" s="1"/>
  <c r="E235" i="1" a="1"/>
  <c r="E235" i="1" s="1"/>
  <c r="G235" i="1" s="1"/>
  <c r="E234" i="1" a="1"/>
  <c r="E234" i="1" s="1"/>
  <c r="E232" i="1" a="1"/>
  <c r="E232" i="1" s="1"/>
  <c r="G232" i="1" s="1"/>
  <c r="E231" i="1" a="1"/>
  <c r="E231" i="1" s="1"/>
  <c r="G231" i="1" s="1"/>
  <c r="E230" i="1" a="1"/>
  <c r="E230" i="1" s="1"/>
  <c r="G230" i="1" s="1"/>
  <c r="E229" i="1" a="1"/>
  <c r="E229" i="1" s="1"/>
  <c r="G229" i="1" s="1"/>
  <c r="E228" i="1" a="1"/>
  <c r="E228" i="1" s="1"/>
  <c r="G228" i="1" s="1"/>
  <c r="E227" i="1" a="1"/>
  <c r="E227" i="1" s="1"/>
  <c r="G227" i="1" s="1"/>
  <c r="E226" i="1" a="1"/>
  <c r="E226" i="1" s="1"/>
  <c r="G226" i="1" s="1"/>
  <c r="E225" i="1" a="1"/>
  <c r="E225" i="1" s="1"/>
  <c r="G225" i="1" s="1"/>
  <c r="E224" i="1" a="1"/>
  <c r="E224" i="1" s="1"/>
  <c r="G224" i="1" s="1"/>
  <c r="E223" i="1" a="1"/>
  <c r="E223" i="1" s="1"/>
  <c r="G223" i="1" s="1"/>
  <c r="E222" i="1" a="1"/>
  <c r="E222" i="1" s="1"/>
  <c r="G222" i="1" s="1"/>
  <c r="E216" i="1" a="1"/>
  <c r="E216" i="1" s="1"/>
  <c r="G216" i="1" s="1"/>
  <c r="E214" i="1" a="1"/>
  <c r="E214" i="1" s="1"/>
  <c r="G214" i="1" s="1"/>
  <c r="E213" i="1" a="1"/>
  <c r="E213" i="1" s="1"/>
  <c r="G213" i="1" s="1"/>
  <c r="E212" i="1" a="1"/>
  <c r="E212" i="1" s="1"/>
  <c r="G212" i="1" s="1"/>
  <c r="E211" i="1" a="1"/>
  <c r="E211" i="1" s="1"/>
  <c r="G211" i="1" s="1"/>
  <c r="E210" i="1" a="1"/>
  <c r="E210" i="1" s="1"/>
  <c r="G210" i="1" s="1"/>
  <c r="E209" i="1" a="1"/>
  <c r="E209" i="1" s="1"/>
  <c r="G209" i="1" s="1"/>
  <c r="E208" i="1" a="1"/>
  <c r="E208" i="1" s="1"/>
  <c r="G208" i="1" s="1"/>
  <c r="E207" i="1" a="1"/>
  <c r="E207" i="1" s="1"/>
  <c r="G207" i="1" s="1"/>
  <c r="E206" i="1" a="1"/>
  <c r="E206" i="1" s="1"/>
  <c r="G206" i="1" s="1"/>
  <c r="E205" i="1" a="1"/>
  <c r="E205" i="1" s="1"/>
  <c r="G205" i="1" s="1"/>
  <c r="E204" i="1" a="1"/>
  <c r="E204" i="1" s="1"/>
  <c r="G204" i="1" s="1"/>
  <c r="E203" i="1" a="1"/>
  <c r="E203" i="1" s="1"/>
  <c r="G203" i="1" s="1"/>
  <c r="E202" i="1" a="1"/>
  <c r="E202" i="1" s="1"/>
  <c r="G202" i="1" s="1"/>
  <c r="E201" i="1" a="1"/>
  <c r="E201" i="1" s="1"/>
  <c r="G201" i="1" s="1"/>
  <c r="E200" i="1" a="1"/>
  <c r="E200" i="1" s="1"/>
  <c r="G200" i="1" s="1"/>
  <c r="E199" i="1" a="1"/>
  <c r="E199" i="1" s="1"/>
  <c r="G199" i="1" s="1"/>
  <c r="E198" i="1" a="1"/>
  <c r="E198" i="1" s="1"/>
  <c r="G198" i="1" s="1"/>
  <c r="E197" i="1" a="1"/>
  <c r="E197" i="1" s="1"/>
  <c r="G197" i="1" s="1"/>
  <c r="E196" i="1" a="1"/>
  <c r="E196" i="1" s="1"/>
  <c r="G196" i="1" s="1"/>
  <c r="E195" i="1" a="1"/>
  <c r="E195" i="1" s="1"/>
  <c r="G195" i="1" s="1"/>
  <c r="E194" i="1" a="1"/>
  <c r="E194" i="1" s="1"/>
  <c r="G194" i="1" s="1"/>
  <c r="E193" i="1" a="1"/>
  <c r="E193" i="1" s="1"/>
  <c r="G193" i="1" s="1"/>
  <c r="E192" i="1" a="1"/>
  <c r="E192" i="1" s="1"/>
  <c r="G192" i="1" s="1"/>
  <c r="E191" i="1" a="1"/>
  <c r="E191" i="1" s="1"/>
  <c r="G191" i="1" s="1"/>
  <c r="E190" i="1" a="1"/>
  <c r="E190" i="1" s="1"/>
  <c r="G190" i="1" s="1"/>
  <c r="E189" i="1" a="1"/>
  <c r="E189" i="1" s="1"/>
  <c r="G189" i="1" s="1"/>
  <c r="E188" i="1" a="1"/>
  <c r="E188" i="1" s="1"/>
  <c r="G188" i="1" s="1"/>
  <c r="E187" i="1" a="1"/>
  <c r="E187" i="1" s="1"/>
  <c r="G187" i="1" s="1"/>
  <c r="E186" i="1" a="1"/>
  <c r="E186" i="1" s="1"/>
  <c r="G186" i="1" s="1"/>
  <c r="E185" i="1" a="1"/>
  <c r="E185" i="1" s="1"/>
  <c r="G185" i="1" s="1"/>
  <c r="E184" i="1" a="1"/>
  <c r="E184" i="1" s="1"/>
  <c r="G184" i="1" s="1"/>
  <c r="E183" i="1" a="1"/>
  <c r="E183" i="1" s="1"/>
  <c r="G183" i="1" s="1"/>
  <c r="E182" i="1" a="1"/>
  <c r="E182" i="1" s="1"/>
  <c r="G182" i="1" s="1"/>
  <c r="E181" i="1" a="1"/>
  <c r="E181" i="1" s="1"/>
  <c r="G181" i="1" s="1"/>
  <c r="E180" i="1" a="1"/>
  <c r="E180" i="1" s="1"/>
  <c r="G180" i="1" s="1"/>
  <c r="E179" i="1" a="1"/>
  <c r="E179" i="1" s="1"/>
  <c r="G179" i="1" s="1"/>
  <c r="E178" i="1" a="1"/>
  <c r="E178" i="1" s="1"/>
  <c r="G178" i="1" s="1"/>
  <c r="E177" i="1" a="1"/>
  <c r="E177" i="1" s="1"/>
  <c r="G177" i="1" s="1"/>
  <c r="E176" i="1" a="1"/>
  <c r="E176" i="1" s="1"/>
  <c r="G176" i="1" s="1"/>
  <c r="E175" i="1" a="1"/>
  <c r="E175" i="1" s="1"/>
  <c r="G175" i="1" s="1"/>
  <c r="E174" i="1" a="1"/>
  <c r="E174" i="1" s="1"/>
  <c r="G174" i="1" s="1"/>
  <c r="E173" i="1" a="1"/>
  <c r="E173" i="1" s="1"/>
  <c r="G173" i="1" s="1"/>
  <c r="E172" i="1" a="1"/>
  <c r="E172" i="1" s="1"/>
  <c r="G172" i="1" s="1"/>
  <c r="E171" i="1" a="1"/>
  <c r="E171" i="1" s="1"/>
  <c r="G171" i="1" s="1"/>
  <c r="E170" i="1" a="1"/>
  <c r="E170" i="1" s="1"/>
  <c r="G170" i="1" s="1"/>
  <c r="E169" i="1" a="1"/>
  <c r="E169" i="1" s="1"/>
  <c r="G169" i="1" s="1"/>
  <c r="E167" i="1" a="1"/>
  <c r="E167" i="1" s="1"/>
  <c r="G167" i="1" s="1"/>
  <c r="E166" i="1" a="1"/>
  <c r="E166" i="1" s="1"/>
  <c r="G166" i="1" s="1"/>
  <c r="E165" i="1" a="1"/>
  <c r="E165" i="1" s="1"/>
  <c r="G165" i="1" s="1"/>
  <c r="E164" i="1" a="1"/>
  <c r="E164" i="1" s="1"/>
  <c r="G164" i="1" s="1"/>
  <c r="E163" i="1" a="1"/>
  <c r="E163" i="1" s="1"/>
  <c r="G163" i="1" s="1"/>
  <c r="E162" i="1" a="1"/>
  <c r="E162" i="1" s="1"/>
  <c r="G162" i="1" s="1"/>
  <c r="E161" i="1" a="1"/>
  <c r="E161" i="1" s="1"/>
  <c r="G161" i="1" s="1"/>
  <c r="E160" i="1" a="1"/>
  <c r="E160" i="1" s="1"/>
  <c r="G160" i="1" s="1"/>
  <c r="E159" i="1" a="1"/>
  <c r="E159" i="1" s="1"/>
  <c r="G159" i="1" s="1"/>
  <c r="E158" i="1" a="1"/>
  <c r="E158" i="1" s="1"/>
  <c r="G158" i="1" s="1"/>
  <c r="E157" i="1" a="1"/>
  <c r="E157" i="1" s="1"/>
  <c r="G157" i="1" s="1"/>
  <c r="E156" i="1" a="1"/>
  <c r="E156" i="1" s="1"/>
  <c r="G156" i="1" s="1"/>
  <c r="E155" i="1" a="1"/>
  <c r="E155" i="1" s="1"/>
  <c r="G155" i="1" s="1"/>
  <c r="E154" i="1" a="1"/>
  <c r="E154" i="1" s="1"/>
  <c r="G154" i="1" s="1"/>
  <c r="E153" i="1" a="1"/>
  <c r="E153" i="1" s="1"/>
  <c r="G153" i="1" s="1"/>
  <c r="E152" i="1" a="1"/>
  <c r="E152" i="1" s="1"/>
  <c r="G152" i="1" s="1"/>
  <c r="E151" i="1" a="1"/>
  <c r="E151" i="1" s="1"/>
  <c r="G151" i="1" s="1"/>
  <c r="E150" i="1" a="1"/>
  <c r="E150" i="1" s="1"/>
  <c r="G150" i="1" s="1"/>
  <c r="E149" i="1" a="1"/>
  <c r="E149" i="1" s="1"/>
  <c r="G149" i="1" s="1"/>
  <c r="E148" i="1" a="1"/>
  <c r="E148" i="1" s="1"/>
  <c r="G148" i="1" s="1"/>
  <c r="E147" i="1" a="1"/>
  <c r="E147" i="1" s="1"/>
  <c r="G147" i="1" s="1"/>
  <c r="E146" i="1" a="1"/>
  <c r="E146" i="1" s="1"/>
  <c r="G146" i="1" s="1"/>
  <c r="E145" i="1" a="1"/>
  <c r="E145" i="1" s="1"/>
  <c r="G145" i="1" s="1"/>
  <c r="E142" i="1" a="1"/>
  <c r="E142" i="1" s="1"/>
  <c r="G142" i="1" s="1"/>
  <c r="E141" i="1" a="1"/>
  <c r="E141" i="1" s="1"/>
  <c r="G141" i="1" s="1"/>
  <c r="E140" i="1" a="1"/>
  <c r="E140" i="1" s="1"/>
  <c r="G140" i="1" s="1"/>
  <c r="E139" i="1" a="1"/>
  <c r="E139" i="1" s="1"/>
  <c r="G139" i="1" s="1"/>
  <c r="E138" i="1" a="1"/>
  <c r="E138" i="1" s="1"/>
  <c r="G138" i="1" s="1"/>
  <c r="E137" i="1" a="1"/>
  <c r="E137" i="1" s="1"/>
  <c r="G137" i="1" s="1"/>
  <c r="E136" i="1" a="1"/>
  <c r="E136" i="1" s="1"/>
  <c r="G136" i="1" s="1"/>
  <c r="E135" i="1" a="1"/>
  <c r="E135" i="1" s="1"/>
  <c r="G135" i="1" s="1"/>
  <c r="E133" i="1" a="1"/>
  <c r="E133" i="1" s="1"/>
  <c r="G133" i="1" s="1"/>
  <c r="E132" i="1" a="1"/>
  <c r="E132" i="1" s="1"/>
  <c r="E130" i="1" a="1"/>
  <c r="E130" i="1" s="1"/>
  <c r="G130" i="1" s="1"/>
  <c r="E129" i="1" a="1"/>
  <c r="E129" i="1" s="1"/>
  <c r="G129" i="1" s="1"/>
  <c r="E128" i="1" a="1"/>
  <c r="E128" i="1" s="1"/>
  <c r="G128" i="1" s="1"/>
  <c r="E127" i="1" a="1"/>
  <c r="E127" i="1" s="1"/>
  <c r="G127" i="1" s="1"/>
  <c r="E126" i="1" a="1"/>
  <c r="E126" i="1" s="1"/>
  <c r="G126" i="1" s="1"/>
  <c r="E125" i="1" a="1"/>
  <c r="E125" i="1" s="1"/>
  <c r="G125" i="1" s="1"/>
  <c r="E124" i="1" a="1"/>
  <c r="E124" i="1" s="1"/>
  <c r="G124" i="1" s="1"/>
  <c r="E122" i="1" a="1"/>
  <c r="E122" i="1" s="1"/>
  <c r="E120" i="1" a="1"/>
  <c r="E120" i="1" s="1"/>
  <c r="G120" i="1" s="1"/>
  <c r="E118" i="1" a="1"/>
  <c r="E118" i="1" s="1"/>
  <c r="G118" i="1" s="1"/>
  <c r="E116" i="1" a="1"/>
  <c r="E116" i="1" s="1"/>
  <c r="G116" i="1" s="1"/>
  <c r="E115" i="1" a="1"/>
  <c r="E115" i="1" s="1"/>
  <c r="E114" i="1" a="1"/>
  <c r="E114" i="1" s="1"/>
  <c r="G114" i="1" s="1"/>
  <c r="E112" i="1" a="1"/>
  <c r="E112" i="1" s="1"/>
  <c r="G112" i="1" s="1"/>
  <c r="E111" i="1" a="1"/>
  <c r="E111" i="1" s="1"/>
  <c r="G111" i="1" s="1"/>
  <c r="E109" i="1" a="1"/>
  <c r="E109" i="1" s="1"/>
  <c r="G109" i="1" s="1"/>
  <c r="E108" i="1" a="1"/>
  <c r="E108" i="1" s="1"/>
  <c r="G108" i="1" s="1"/>
  <c r="E107" i="1" a="1"/>
  <c r="E107" i="1" s="1"/>
  <c r="G107" i="1" s="1"/>
  <c r="E105" i="1" a="1"/>
  <c r="E105" i="1" s="1"/>
  <c r="G105" i="1" s="1"/>
  <c r="E104" i="1" a="1"/>
  <c r="E104" i="1" s="1"/>
  <c r="G104" i="1" s="1"/>
  <c r="E103" i="1" a="1"/>
  <c r="E103" i="1" s="1"/>
  <c r="G103" i="1" s="1"/>
  <c r="E101" i="1" a="1"/>
  <c r="E101" i="1" s="1"/>
  <c r="G101" i="1" s="1"/>
  <c r="E100" i="1" a="1"/>
  <c r="E100" i="1" s="1"/>
  <c r="G100" i="1" s="1"/>
  <c r="E99" i="1" a="1"/>
  <c r="E99" i="1" s="1"/>
  <c r="G99" i="1" s="1"/>
  <c r="E98" i="1" a="1"/>
  <c r="E98" i="1" s="1"/>
  <c r="G98" i="1" s="1"/>
  <c r="E97" i="1" a="1"/>
  <c r="E97" i="1" s="1"/>
  <c r="G97" i="1" s="1"/>
  <c r="E93" i="1" a="1"/>
  <c r="E93" i="1" s="1"/>
  <c r="G93" i="1" s="1"/>
  <c r="E92" i="1" a="1"/>
  <c r="E92" i="1" s="1"/>
  <c r="G92" i="1" s="1"/>
  <c r="E91" i="1" a="1"/>
  <c r="E91" i="1" s="1"/>
  <c r="G91" i="1" s="1"/>
  <c r="E90" i="1" a="1"/>
  <c r="E90" i="1" s="1"/>
  <c r="G90" i="1" s="1"/>
  <c r="E89" i="1" a="1"/>
  <c r="E89" i="1" s="1"/>
  <c r="G89" i="1" s="1"/>
  <c r="E88" i="1" a="1"/>
  <c r="E88" i="1" s="1"/>
  <c r="G88" i="1" s="1"/>
  <c r="E87" i="1" a="1"/>
  <c r="E87" i="1" s="1"/>
  <c r="G87" i="1" s="1"/>
  <c r="E85" i="1" a="1"/>
  <c r="E85" i="1" s="1"/>
  <c r="G85" i="1" s="1"/>
  <c r="E84" i="1" a="1"/>
  <c r="E84" i="1" s="1"/>
  <c r="G84" i="1" s="1"/>
  <c r="E83" i="1" a="1"/>
  <c r="E83" i="1" s="1"/>
  <c r="G83" i="1" s="1"/>
  <c r="E82" i="1" a="1"/>
  <c r="E82" i="1" s="1"/>
  <c r="G82" i="1" s="1"/>
  <c r="E81" i="1" a="1"/>
  <c r="E81" i="1" s="1"/>
  <c r="G81" i="1" s="1"/>
  <c r="E80" i="1" a="1"/>
  <c r="E80" i="1" s="1"/>
  <c r="G80" i="1" s="1"/>
  <c r="E79" i="1" a="1"/>
  <c r="E79" i="1" s="1"/>
  <c r="G79" i="1" s="1"/>
  <c r="E78" i="1" a="1"/>
  <c r="E78" i="1" s="1"/>
  <c r="E77" i="1" a="1"/>
  <c r="E77" i="1" s="1"/>
  <c r="E74" i="1" a="1"/>
  <c r="E74" i="1" s="1"/>
  <c r="G74" i="1" s="1"/>
  <c r="E73" i="1" a="1"/>
  <c r="E73" i="1" s="1"/>
  <c r="E72" i="1" a="1"/>
  <c r="E72" i="1" s="1"/>
  <c r="G72" i="1" s="1"/>
  <c r="E71" i="1" a="1"/>
  <c r="E71" i="1" s="1"/>
  <c r="G71" i="1" s="1"/>
  <c r="E70" i="1" a="1"/>
  <c r="E70" i="1" s="1"/>
  <c r="G70" i="1" s="1"/>
  <c r="E69" i="1" a="1"/>
  <c r="E69" i="1" s="1"/>
  <c r="E67" i="1" a="1"/>
  <c r="E67" i="1" s="1"/>
  <c r="G67" i="1" s="1"/>
  <c r="E66" i="1" a="1"/>
  <c r="E66" i="1" s="1"/>
  <c r="G66" i="1" s="1"/>
  <c r="E65" i="1" a="1"/>
  <c r="E65" i="1" s="1"/>
  <c r="G65" i="1" s="1"/>
  <c r="E64" i="1" a="1"/>
  <c r="E64" i="1" s="1"/>
  <c r="G64" i="1" s="1"/>
  <c r="E63" i="1" a="1"/>
  <c r="E63" i="1" s="1"/>
  <c r="E62" i="1" a="1"/>
  <c r="E62" i="1" s="1"/>
  <c r="E61" i="1" a="1"/>
  <c r="E61" i="1" s="1"/>
  <c r="G61" i="1" s="1"/>
  <c r="E60" i="1" a="1"/>
  <c r="E60" i="1" s="1"/>
  <c r="G60" i="1" s="1"/>
  <c r="E59" i="1" a="1"/>
  <c r="E59" i="1" s="1"/>
  <c r="G59" i="1" s="1"/>
  <c r="E55" i="1" a="1"/>
  <c r="E55" i="1" s="1"/>
  <c r="G55" i="1" s="1"/>
  <c r="E52" i="1" a="1"/>
  <c r="E52" i="1" s="1"/>
  <c r="G52" i="1" s="1"/>
  <c r="E51" i="1" a="1"/>
  <c r="E51" i="1" s="1"/>
  <c r="G51" i="1" s="1"/>
  <c r="E50" i="1" a="1"/>
  <c r="E50" i="1" s="1"/>
  <c r="G50" i="1" s="1"/>
  <c r="E49" i="1" a="1"/>
  <c r="E49" i="1" s="1"/>
  <c r="G49" i="1" s="1"/>
  <c r="E48" i="1" a="1"/>
  <c r="E48" i="1" s="1"/>
  <c r="G48" i="1" s="1"/>
  <c r="E47" i="1" a="1"/>
  <c r="E47" i="1" s="1"/>
  <c r="G47" i="1" s="1"/>
  <c r="E46" i="1" a="1"/>
  <c r="E46" i="1" s="1"/>
  <c r="G46" i="1" s="1"/>
  <c r="E45" i="1" a="1"/>
  <c r="E45" i="1" s="1"/>
  <c r="G45" i="1" s="1"/>
  <c r="E44" i="1" a="1"/>
  <c r="E44" i="1" s="1"/>
  <c r="G44" i="1" s="1"/>
  <c r="E43" i="1" a="1"/>
  <c r="E43" i="1" s="1"/>
  <c r="G43" i="1" s="1"/>
  <c r="E42" i="1" a="1"/>
  <c r="E42" i="1" s="1"/>
  <c r="G42" i="1" s="1"/>
  <c r="E41" i="1" a="1"/>
  <c r="E41" i="1" s="1"/>
  <c r="G41" i="1" s="1"/>
  <c r="E40" i="1" a="1"/>
  <c r="E40" i="1" s="1"/>
  <c r="E39" i="1" a="1"/>
  <c r="E39" i="1" s="1"/>
  <c r="G39" i="1" s="1"/>
  <c r="E37" i="1" a="1"/>
  <c r="E37" i="1" s="1"/>
  <c r="G37" i="1" s="1"/>
  <c r="E36" i="1" a="1"/>
  <c r="E36" i="1" s="1"/>
  <c r="G36" i="1" s="1"/>
  <c r="E35" i="1" a="1"/>
  <c r="E35" i="1" s="1"/>
  <c r="G35" i="1" s="1"/>
  <c r="E34" i="1" a="1"/>
  <c r="E34" i="1" s="1"/>
  <c r="G34" i="1" s="1"/>
  <c r="E33" i="1" a="1"/>
  <c r="E33" i="1" s="1"/>
  <c r="G33" i="1" s="1"/>
  <c r="E32" i="1" a="1"/>
  <c r="E32" i="1" s="1"/>
  <c r="G32" i="1" s="1"/>
  <c r="E31" i="1" a="1"/>
  <c r="E31" i="1" s="1"/>
  <c r="G31" i="1" s="1"/>
  <c r="E30" i="1" a="1"/>
  <c r="E30" i="1" s="1"/>
  <c r="E28" i="1" a="1"/>
  <c r="E28" i="1" s="1"/>
  <c r="G28" i="1" s="1"/>
  <c r="E27" i="1" a="1"/>
  <c r="E27" i="1" s="1"/>
  <c r="E25" i="1" a="1"/>
  <c r="E25" i="1" s="1"/>
  <c r="G25" i="1" s="1"/>
  <c r="E24" i="1" a="1"/>
  <c r="E24" i="1" s="1"/>
  <c r="G24" i="1" s="1"/>
  <c r="E23" i="1" a="1"/>
  <c r="E23" i="1" s="1"/>
  <c r="G23" i="1" s="1"/>
  <c r="E22" i="1" a="1"/>
  <c r="E22" i="1" s="1"/>
  <c r="G22" i="1" s="1"/>
  <c r="E21" i="1" a="1"/>
  <c r="E21" i="1" s="1"/>
  <c r="G21" i="1" s="1"/>
  <c r="E20" i="1" a="1"/>
  <c r="E20" i="1" s="1"/>
  <c r="G20" i="1" s="1"/>
  <c r="E19" i="1" a="1"/>
  <c r="E19" i="1" s="1"/>
  <c r="G19" i="1" s="1"/>
  <c r="E18" i="1" a="1"/>
  <c r="E18" i="1" s="1"/>
  <c r="E17" i="1" a="1"/>
  <c r="E17" i="1" s="1"/>
  <c r="G17" i="1" s="1"/>
  <c r="E16" i="1" a="1"/>
  <c r="E16" i="1" s="1"/>
  <c r="G16" i="1" s="1"/>
  <c r="E15" i="1" a="1"/>
  <c r="E15" i="1" s="1"/>
  <c r="G15" i="1" s="1"/>
  <c r="E14" i="1" a="1"/>
  <c r="E14" i="1" s="1"/>
  <c r="G14" i="1" s="1"/>
  <c r="E12" i="1" a="1"/>
  <c r="E12" i="1" s="1"/>
  <c r="G12" i="1" s="1"/>
  <c r="E11" i="1" a="1"/>
  <c r="E11" i="1" s="1"/>
  <c r="G11" i="1" s="1"/>
  <c r="E8" i="1" a="1"/>
  <c r="E8" i="1" s="1"/>
  <c r="G8" i="1" s="1"/>
  <c r="E7" i="1" a="1"/>
  <c r="E7" i="1" s="1"/>
  <c r="G7" i="1" s="1"/>
  <c r="E6" i="1" a="1"/>
  <c r="E6" i="1" s="1"/>
  <c r="G6" i="1" s="1"/>
  <c r="E5" i="1" a="1"/>
  <c r="E5" i="1" s="1"/>
  <c r="G5" i="1" s="1"/>
  <c r="E4" i="1" a="1"/>
  <c r="E4" i="1" s="1"/>
  <c r="G4" i="1" s="1"/>
  <c r="E3" i="1" a="1"/>
  <c r="E3" i="1" s="1"/>
  <c r="G3" i="1" s="1"/>
  <c r="E2" i="1" a="1"/>
  <c r="E2" i="1" s="1"/>
  <c r="E10" i="1" a="1"/>
  <c r="E10" i="1" s="1"/>
  <c r="C240" i="1"/>
  <c r="C239" i="1"/>
  <c r="C522" i="1"/>
  <c r="C523" i="1"/>
  <c r="C521" i="1"/>
  <c r="C519" i="1"/>
  <c r="F97" i="2" l="1"/>
  <c r="E97" i="2" s="1"/>
  <c r="F99" i="2"/>
  <c r="E99" i="2" s="1"/>
  <c r="F100" i="2"/>
  <c r="E100" i="2" s="1"/>
  <c r="F98" i="2"/>
  <c r="E98" i="2" s="1"/>
  <c r="F23" i="2"/>
  <c r="E23" i="2" s="1"/>
  <c r="F58" i="2"/>
  <c r="E58" i="2" s="1"/>
  <c r="F28" i="2"/>
  <c r="E28" i="2" s="1"/>
  <c r="F22" i="2"/>
  <c r="E22" i="2" s="1"/>
  <c r="F49" i="2"/>
  <c r="E49" i="2" s="1"/>
  <c r="F16" i="2"/>
  <c r="E16" i="2" s="1"/>
  <c r="F81" i="2"/>
  <c r="E81" i="2" s="1"/>
  <c r="F60" i="2"/>
  <c r="E60" i="2" s="1"/>
  <c r="F29" i="2"/>
  <c r="E29" i="2" s="1"/>
  <c r="F51" i="2"/>
  <c r="E51" i="2" s="1"/>
  <c r="F66" i="2"/>
  <c r="E66" i="2" s="1"/>
  <c r="F21" i="2"/>
  <c r="E21" i="2" s="1"/>
  <c r="F27" i="2"/>
  <c r="E27" i="2" s="1"/>
  <c r="F45" i="2"/>
  <c r="E45" i="2" s="1"/>
  <c r="F26" i="2"/>
  <c r="E26" i="2" s="1"/>
  <c r="M20" i="2"/>
  <c r="L20" i="2" s="1"/>
  <c r="F50" i="2"/>
  <c r="E50" i="2" s="1"/>
  <c r="F57" i="2"/>
  <c r="E57" i="2" s="1"/>
  <c r="F64" i="2"/>
  <c r="E64" i="2" s="1"/>
  <c r="F70" i="2"/>
  <c r="E70" i="2" s="1"/>
  <c r="F76" i="2"/>
  <c r="E76" i="2" s="1"/>
  <c r="F83" i="2"/>
  <c r="E83" i="2" s="1"/>
  <c r="G63" i="1"/>
  <c r="G69" i="1"/>
  <c r="G512" i="1"/>
  <c r="F47" i="2"/>
  <c r="E47" i="2" s="1"/>
  <c r="F59" i="2"/>
  <c r="E59" i="2" s="1"/>
  <c r="F65" i="2"/>
  <c r="E65" i="2" s="1"/>
  <c r="F71" i="2"/>
  <c r="E71" i="2" s="1"/>
  <c r="F77" i="2"/>
  <c r="E77" i="2" s="1"/>
  <c r="F84" i="2"/>
  <c r="E84" i="2" s="1"/>
  <c r="G18" i="1"/>
  <c r="G30" i="1"/>
  <c r="G132" i="1"/>
  <c r="G409" i="1"/>
  <c r="M8" i="2"/>
  <c r="L8" i="2" s="1"/>
  <c r="G364" i="1"/>
  <c r="F17" i="2"/>
  <c r="E17" i="2" s="1"/>
  <c r="G391" i="1"/>
  <c r="F48" i="2"/>
  <c r="E48" i="2" s="1"/>
  <c r="G416" i="1"/>
  <c r="F46" i="2"/>
  <c r="E46" i="2" s="1"/>
  <c r="G545" i="1"/>
  <c r="F53" i="2"/>
  <c r="E53" i="2" s="1"/>
  <c r="F72" i="2"/>
  <c r="E72" i="2" s="1"/>
  <c r="F78" i="2"/>
  <c r="E78" i="2" s="1"/>
  <c r="F85" i="2"/>
  <c r="E85" i="2" s="1"/>
  <c r="G77" i="1"/>
  <c r="G115" i="1"/>
  <c r="F40" i="2"/>
  <c r="E40" i="2" s="1"/>
  <c r="F52" i="2"/>
  <c r="E52" i="2" s="1"/>
  <c r="G234" i="1"/>
  <c r="F54" i="2"/>
  <c r="E54" i="2" s="1"/>
  <c r="F61" i="2"/>
  <c r="E61" i="2" s="1"/>
  <c r="F67" i="2"/>
  <c r="E67" i="2" s="1"/>
  <c r="F73" i="2"/>
  <c r="E73" i="2" s="1"/>
  <c r="F79" i="2"/>
  <c r="E79" i="2" s="1"/>
  <c r="M38" i="2"/>
  <c r="L38" i="2" s="1"/>
  <c r="G2" i="1"/>
  <c r="G78" i="1"/>
  <c r="G122" i="1"/>
  <c r="F87" i="2"/>
  <c r="E87" i="2" s="1"/>
  <c r="F55" i="2"/>
  <c r="E55" i="2" s="1"/>
  <c r="F62" i="2"/>
  <c r="E62" i="2" s="1"/>
  <c r="F68" i="2"/>
  <c r="E68" i="2" s="1"/>
  <c r="F74" i="2"/>
  <c r="E74" i="2" s="1"/>
  <c r="F80" i="2"/>
  <c r="E80" i="2" s="1"/>
  <c r="G27" i="1"/>
  <c r="G73" i="1"/>
  <c r="F56" i="2"/>
  <c r="E56" i="2" s="1"/>
  <c r="F63" i="2"/>
  <c r="E63" i="2" s="1"/>
  <c r="F69" i="2"/>
  <c r="E69" i="2" s="1"/>
  <c r="F75" i="2"/>
  <c r="E75" i="2" s="1"/>
  <c r="G10" i="1"/>
  <c r="G40" i="1"/>
  <c r="G62" i="1"/>
  <c r="F11" i="2"/>
  <c r="E11" i="2" s="1"/>
  <c r="F35" i="2"/>
  <c r="E35" i="2" s="1"/>
  <c r="M26" i="2"/>
  <c r="L26" i="2" s="1"/>
  <c r="F6" i="2"/>
  <c r="E6" i="2" s="1"/>
  <c r="F12" i="2"/>
  <c r="E12" i="2" s="1"/>
  <c r="F18" i="2"/>
  <c r="E18" i="2" s="1"/>
  <c r="F24" i="2"/>
  <c r="E24" i="2" s="1"/>
  <c r="F30" i="2"/>
  <c r="E30" i="2" s="1"/>
  <c r="F36" i="2"/>
  <c r="E36" i="2" s="1"/>
  <c r="F42" i="2"/>
  <c r="E42" i="2" s="1"/>
  <c r="F90" i="2"/>
  <c r="E90" i="2" s="1"/>
  <c r="F96" i="2"/>
  <c r="E96" i="2" s="1"/>
  <c r="M9" i="2"/>
  <c r="L9" i="2" s="1"/>
  <c r="M15" i="2"/>
  <c r="L15" i="2" s="1"/>
  <c r="M21" i="2"/>
  <c r="L21" i="2" s="1"/>
  <c r="M27" i="2"/>
  <c r="L27" i="2" s="1"/>
  <c r="M33" i="2"/>
  <c r="L33" i="2" s="1"/>
  <c r="M39" i="2"/>
  <c r="L39" i="2" s="1"/>
  <c r="F5" i="2"/>
  <c r="E5" i="2" s="1"/>
  <c r="F41" i="2"/>
  <c r="E41" i="2" s="1"/>
  <c r="F89" i="2"/>
  <c r="E89" i="2" s="1"/>
  <c r="F7" i="2"/>
  <c r="E7" i="2" s="1"/>
  <c r="F13" i="2"/>
  <c r="E13" i="2" s="1"/>
  <c r="F19" i="2"/>
  <c r="E19" i="2" s="1"/>
  <c r="F25" i="2"/>
  <c r="E25" i="2" s="1"/>
  <c r="F31" i="2"/>
  <c r="E31" i="2" s="1"/>
  <c r="F37" i="2"/>
  <c r="E37" i="2" s="1"/>
  <c r="F43" i="2"/>
  <c r="E43" i="2" s="1"/>
  <c r="F91" i="2"/>
  <c r="E91" i="2" s="1"/>
  <c r="M4" i="2"/>
  <c r="L4" i="2" s="1"/>
  <c r="M10" i="2"/>
  <c r="L10" i="2" s="1"/>
  <c r="M16" i="2"/>
  <c r="L16" i="2" s="1"/>
  <c r="M22" i="2"/>
  <c r="L22" i="2" s="1"/>
  <c r="M28" i="2"/>
  <c r="L28" i="2" s="1"/>
  <c r="M34" i="2"/>
  <c r="L34" i="2" s="1"/>
  <c r="M40" i="2"/>
  <c r="L40" i="2" s="1"/>
  <c r="M14" i="2"/>
  <c r="L14" i="2" s="1"/>
  <c r="F8" i="2"/>
  <c r="E8" i="2" s="1"/>
  <c r="F14" i="2"/>
  <c r="E14" i="2" s="1"/>
  <c r="F20" i="2"/>
  <c r="E20" i="2" s="1"/>
  <c r="F32" i="2"/>
  <c r="E32" i="2" s="1"/>
  <c r="F38" i="2"/>
  <c r="E38" i="2" s="1"/>
  <c r="F44" i="2"/>
  <c r="E44" i="2" s="1"/>
  <c r="F86" i="2"/>
  <c r="E86" i="2" s="1"/>
  <c r="F92" i="2"/>
  <c r="E92" i="2" s="1"/>
  <c r="M5" i="2"/>
  <c r="L5" i="2" s="1"/>
  <c r="M11" i="2"/>
  <c r="L11" i="2" s="1"/>
  <c r="M17" i="2"/>
  <c r="L17" i="2" s="1"/>
  <c r="M23" i="2"/>
  <c r="L23" i="2" s="1"/>
  <c r="M35" i="2"/>
  <c r="L35" i="2" s="1"/>
  <c r="M41" i="2"/>
  <c r="L41" i="2" s="1"/>
  <c r="M32" i="2"/>
  <c r="L32" i="2" s="1"/>
  <c r="F9" i="2"/>
  <c r="E9" i="2" s="1"/>
  <c r="F15" i="2"/>
  <c r="E15" i="2" s="1"/>
  <c r="F33" i="2"/>
  <c r="E33" i="2" s="1"/>
  <c r="F39" i="2"/>
  <c r="E39" i="2" s="1"/>
  <c r="F93" i="2"/>
  <c r="E93" i="2" s="1"/>
  <c r="M6" i="2"/>
  <c r="L6" i="2" s="1"/>
  <c r="M12" i="2"/>
  <c r="L12" i="2" s="1"/>
  <c r="M18" i="2"/>
  <c r="L18" i="2" s="1"/>
  <c r="M24" i="2"/>
  <c r="L24" i="2" s="1"/>
  <c r="M30" i="2"/>
  <c r="L30" i="2" s="1"/>
  <c r="M36" i="2"/>
  <c r="L36" i="2" s="1"/>
  <c r="F95" i="2"/>
  <c r="E95" i="2" s="1"/>
  <c r="F4" i="2"/>
  <c r="E4" i="2" s="1"/>
  <c r="F10" i="2"/>
  <c r="E10" i="2" s="1"/>
  <c r="F82" i="2"/>
  <c r="E82" i="2" s="1"/>
  <c r="F88" i="2"/>
  <c r="E88" i="2" s="1"/>
  <c r="F94" i="2"/>
  <c r="E94" i="2" s="1"/>
  <c r="M7" i="2"/>
  <c r="L7" i="2" s="1"/>
  <c r="M13" i="2"/>
  <c r="L13" i="2" s="1"/>
  <c r="M19" i="2"/>
  <c r="L19" i="2" s="1"/>
  <c r="M25" i="2"/>
  <c r="L25" i="2" s="1"/>
  <c r="M31" i="2"/>
  <c r="L31" i="2" s="1"/>
  <c r="M37" i="2"/>
  <c r="L37" i="2" s="1"/>
  <c r="C121" i="1"/>
  <c r="G99" i="2" l="1"/>
  <c r="G98" i="2"/>
  <c r="G100" i="2"/>
  <c r="G97" i="2"/>
  <c r="N41" i="2"/>
  <c r="N35" i="2"/>
  <c r="N28" i="2"/>
  <c r="N22" i="2"/>
  <c r="N16" i="2"/>
  <c r="N10" i="2"/>
  <c r="N4" i="2"/>
  <c r="G91" i="2"/>
  <c r="G85" i="2"/>
  <c r="G79" i="2"/>
  <c r="G73" i="2"/>
  <c r="G67" i="2"/>
  <c r="G61" i="2"/>
  <c r="G55" i="2"/>
  <c r="G49" i="2"/>
  <c r="G43" i="2"/>
  <c r="G37" i="2"/>
  <c r="G30" i="2"/>
  <c r="G24" i="2"/>
  <c r="G18" i="2"/>
  <c r="G12" i="2"/>
  <c r="G6" i="2"/>
  <c r="N40" i="2"/>
  <c r="N34" i="2"/>
  <c r="N27" i="2"/>
  <c r="N21" i="2"/>
  <c r="N15" i="2"/>
  <c r="N9" i="2"/>
  <c r="G96" i="2"/>
  <c r="G90" i="2"/>
  <c r="G84" i="2"/>
  <c r="G78" i="2"/>
  <c r="G72" i="2"/>
  <c r="G66" i="2"/>
  <c r="G60" i="2"/>
  <c r="G54" i="2"/>
  <c r="G48" i="2"/>
  <c r="G42" i="2"/>
  <c r="G36" i="2"/>
  <c r="G29" i="2"/>
  <c r="G23" i="2"/>
  <c r="G17" i="2"/>
  <c r="G11" i="2"/>
  <c r="G5" i="2"/>
  <c r="N38" i="2"/>
  <c r="N32" i="2"/>
  <c r="N25" i="2"/>
  <c r="N19" i="2"/>
  <c r="N13" i="2"/>
  <c r="N7" i="2"/>
  <c r="G94" i="2"/>
  <c r="G88" i="2"/>
  <c r="G82" i="2"/>
  <c r="G76" i="2"/>
  <c r="G70" i="2"/>
  <c r="G64" i="2"/>
  <c r="G58" i="2"/>
  <c r="G52" i="2"/>
  <c r="G46" i="2"/>
  <c r="G40" i="2"/>
  <c r="G33" i="2"/>
  <c r="G27" i="2"/>
  <c r="G21" i="2"/>
  <c r="G15" i="2"/>
  <c r="G9" i="2"/>
  <c r="N37" i="2"/>
  <c r="N31" i="2"/>
  <c r="N24" i="2"/>
  <c r="N18" i="2"/>
  <c r="N12" i="2"/>
  <c r="N6" i="2"/>
  <c r="G93" i="2"/>
  <c r="G87" i="2"/>
  <c r="G81" i="2"/>
  <c r="G75" i="2"/>
  <c r="G69" i="2"/>
  <c r="G63" i="2"/>
  <c r="G57" i="2"/>
  <c r="G51" i="2"/>
  <c r="G45" i="2"/>
  <c r="G39" i="2"/>
  <c r="G32" i="2"/>
  <c r="G26" i="2"/>
  <c r="G20" i="2"/>
  <c r="G14" i="2"/>
  <c r="G8" i="2"/>
  <c r="N39" i="2"/>
  <c r="N20" i="2"/>
  <c r="G95" i="2"/>
  <c r="G77" i="2"/>
  <c r="G59" i="2"/>
  <c r="G41" i="2"/>
  <c r="G22" i="2"/>
  <c r="G4" i="2"/>
  <c r="N36" i="2"/>
  <c r="N17" i="2"/>
  <c r="G92" i="2"/>
  <c r="G74" i="2"/>
  <c r="G56" i="2"/>
  <c r="G38" i="2"/>
  <c r="G19" i="2"/>
  <c r="N33" i="2"/>
  <c r="N14" i="2"/>
  <c r="G89" i="2"/>
  <c r="G71" i="2"/>
  <c r="G53" i="2"/>
  <c r="G35" i="2"/>
  <c r="G16" i="2"/>
  <c r="N30" i="2"/>
  <c r="N11" i="2"/>
  <c r="G86" i="2"/>
  <c r="G68" i="2"/>
  <c r="G50" i="2"/>
  <c r="G31" i="2"/>
  <c r="G13" i="2"/>
  <c r="N26" i="2"/>
  <c r="N8" i="2"/>
  <c r="G83" i="2"/>
  <c r="G65" i="2"/>
  <c r="G47" i="2"/>
  <c r="G28" i="2"/>
  <c r="G10" i="2"/>
  <c r="N23" i="2"/>
  <c r="N5" i="2"/>
  <c r="G80" i="2"/>
  <c r="G62" i="2"/>
  <c r="G44" i="2"/>
  <c r="G25" i="2"/>
  <c r="G7" i="2"/>
  <c r="C131" i="1"/>
  <c r="C2" i="1" l="1"/>
  <c r="C3" i="1"/>
  <c r="C4" i="1"/>
  <c r="C5" i="1"/>
  <c r="C6" i="1"/>
  <c r="C7" i="1"/>
  <c r="C8" i="1"/>
  <c r="C10" i="1"/>
  <c r="C9"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40" i="1"/>
  <c r="C39" i="1"/>
  <c r="C41" i="1"/>
  <c r="C42" i="1"/>
  <c r="C43" i="1"/>
  <c r="C44" i="1"/>
  <c r="C45" i="1"/>
  <c r="C46" i="1"/>
  <c r="C47" i="1"/>
  <c r="C48" i="1"/>
  <c r="C49" i="1"/>
  <c r="C50" i="1"/>
  <c r="C51" i="1"/>
  <c r="C52" i="1"/>
  <c r="C55" i="1"/>
  <c r="C56" i="1"/>
  <c r="C59" i="1"/>
  <c r="C60" i="1"/>
  <c r="C61" i="1"/>
  <c r="C62" i="1"/>
  <c r="C63" i="1"/>
  <c r="C64" i="1"/>
  <c r="C65" i="1"/>
  <c r="C66" i="1"/>
  <c r="C67" i="1"/>
  <c r="C68" i="1"/>
  <c r="C69" i="1"/>
  <c r="C70" i="1"/>
  <c r="C71" i="1"/>
  <c r="C72" i="1"/>
  <c r="C73" i="1"/>
  <c r="C74" i="1"/>
  <c r="C75" i="1"/>
  <c r="C77" i="1"/>
  <c r="C78" i="1"/>
  <c r="C76" i="1"/>
  <c r="C79" i="1"/>
  <c r="C80" i="1"/>
  <c r="C81" i="1"/>
  <c r="C82" i="1"/>
  <c r="C83" i="1"/>
  <c r="C84" i="1"/>
  <c r="C85" i="1"/>
  <c r="C86" i="1"/>
  <c r="C89" i="1"/>
  <c r="C90" i="1"/>
  <c r="C87" i="1"/>
  <c r="C88" i="1"/>
  <c r="C91" i="1"/>
  <c r="C92" i="1"/>
  <c r="C93" i="1"/>
  <c r="C96" i="1"/>
  <c r="C98" i="1"/>
  <c r="C97" i="1"/>
  <c r="C99" i="1"/>
  <c r="C101" i="1"/>
  <c r="C100" i="1"/>
  <c r="C102" i="1"/>
  <c r="C104" i="1"/>
  <c r="C106" i="1"/>
  <c r="C105" i="1"/>
  <c r="C103" i="1"/>
  <c r="C107" i="1"/>
  <c r="C108" i="1"/>
  <c r="C109" i="1"/>
  <c r="C110" i="1"/>
  <c r="C113" i="1"/>
  <c r="C115" i="1"/>
  <c r="C111" i="1"/>
  <c r="C112" i="1"/>
  <c r="C116" i="1"/>
  <c r="C117" i="1"/>
  <c r="C114" i="1"/>
  <c r="C118" i="1"/>
  <c r="C119" i="1"/>
  <c r="C120" i="1"/>
  <c r="C122" i="1"/>
  <c r="C123" i="1"/>
  <c r="C125" i="1"/>
  <c r="C124" i="1"/>
  <c r="C126" i="1"/>
  <c r="C127" i="1"/>
  <c r="C129" i="1"/>
  <c r="C128" i="1"/>
  <c r="C130" i="1"/>
  <c r="C133" i="1"/>
  <c r="C132" i="1"/>
  <c r="C134" i="1"/>
  <c r="C135" i="1"/>
  <c r="C136" i="1"/>
  <c r="C137" i="1"/>
  <c r="C138" i="1"/>
  <c r="C139" i="1"/>
  <c r="C140" i="1"/>
  <c r="C141" i="1"/>
  <c r="C142" i="1"/>
  <c r="C145" i="1"/>
  <c r="C146" i="1"/>
  <c r="C147" i="1"/>
  <c r="C148" i="1"/>
  <c r="C149" i="1"/>
  <c r="C150" i="1"/>
  <c r="C151" i="1"/>
  <c r="C152" i="1"/>
  <c r="C153" i="1"/>
  <c r="C154" i="1"/>
  <c r="C155" i="1"/>
  <c r="C156" i="1"/>
  <c r="C157" i="1"/>
  <c r="C158" i="1"/>
  <c r="C159" i="1"/>
  <c r="C160" i="1"/>
  <c r="C161" i="1"/>
  <c r="C162" i="1"/>
  <c r="C163" i="1"/>
  <c r="C164" i="1"/>
  <c r="C165" i="1"/>
  <c r="C166" i="1"/>
  <c r="C167" i="1"/>
  <c r="C169" i="1"/>
  <c r="C168"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22" i="1"/>
  <c r="C223" i="1"/>
  <c r="C224" i="1"/>
  <c r="C225" i="1"/>
  <c r="C226" i="1"/>
  <c r="C227" i="1"/>
  <c r="C228" i="1"/>
  <c r="C229" i="1"/>
  <c r="C230" i="1"/>
  <c r="C231" i="1"/>
  <c r="C232" i="1"/>
  <c r="C233" i="1"/>
  <c r="C234" i="1"/>
  <c r="C235" i="1"/>
  <c r="C236" i="1"/>
  <c r="C237" i="1"/>
  <c r="C238" i="1"/>
  <c r="C241" i="1"/>
  <c r="C242" i="1"/>
  <c r="C243" i="1"/>
  <c r="C244" i="1"/>
  <c r="C245" i="1"/>
  <c r="C246" i="1"/>
  <c r="C247" i="1"/>
  <c r="C248" i="1"/>
  <c r="C249" i="1"/>
  <c r="C250" i="1"/>
  <c r="C251" i="1"/>
  <c r="C253" i="1"/>
  <c r="C252" i="1"/>
  <c r="C254" i="1"/>
  <c r="C255" i="1"/>
  <c r="C256" i="1"/>
  <c r="C257" i="1"/>
  <c r="C258" i="1"/>
  <c r="C259" i="1"/>
  <c r="C260" i="1"/>
  <c r="C261" i="1"/>
  <c r="C262" i="1"/>
  <c r="C263" i="1"/>
  <c r="C264" i="1"/>
  <c r="C265" i="1"/>
  <c r="C217" i="1"/>
  <c r="C266" i="1"/>
  <c r="C267" i="1"/>
  <c r="C268" i="1"/>
  <c r="C269" i="1"/>
  <c r="C270" i="1"/>
  <c r="C271" i="1"/>
  <c r="C218" i="1"/>
  <c r="C219" i="1"/>
  <c r="C220" i="1"/>
  <c r="C221" i="1"/>
  <c r="C272" i="1"/>
  <c r="C273" i="1"/>
  <c r="C274" i="1"/>
  <c r="C275" i="1"/>
  <c r="C276" i="1"/>
  <c r="C277" i="1"/>
  <c r="C278" i="1"/>
  <c r="C279" i="1"/>
  <c r="C280" i="1"/>
  <c r="C281" i="1"/>
  <c r="C282" i="1"/>
  <c r="C283" i="1"/>
  <c r="C284" i="1"/>
  <c r="C285" i="1"/>
  <c r="C286" i="1"/>
  <c r="C287" i="1"/>
  <c r="C288" i="1"/>
  <c r="C289" i="1"/>
  <c r="C290" i="1"/>
  <c r="C293" i="1"/>
  <c r="C294" i="1"/>
  <c r="C295" i="1"/>
  <c r="C300" i="1"/>
  <c r="C301" i="1"/>
  <c r="C302" i="1"/>
  <c r="C303" i="1"/>
  <c r="C304" i="1"/>
  <c r="C305" i="1"/>
  <c r="C306" i="1"/>
  <c r="C307" i="1"/>
  <c r="C308" i="1"/>
  <c r="C309" i="1"/>
  <c r="C310" i="1"/>
  <c r="C311" i="1"/>
  <c r="C312" i="1"/>
  <c r="C313" i="1"/>
  <c r="C314" i="1"/>
  <c r="C315" i="1"/>
  <c r="C317" i="1"/>
  <c r="C316" i="1"/>
  <c r="C318" i="1"/>
  <c r="C319" i="1"/>
  <c r="C320" i="1"/>
  <c r="C321" i="1"/>
  <c r="C322" i="1"/>
  <c r="C323" i="1"/>
  <c r="C324" i="1"/>
  <c r="C325" i="1"/>
  <c r="C327" i="1"/>
  <c r="C326" i="1"/>
  <c r="C328" i="1"/>
  <c r="C329" i="1"/>
  <c r="C330" i="1"/>
  <c r="C331" i="1"/>
  <c r="C332" i="1"/>
  <c r="C333" i="1"/>
  <c r="C334" i="1"/>
  <c r="C335" i="1"/>
  <c r="C336" i="1"/>
  <c r="C338" i="1"/>
  <c r="C337" i="1"/>
  <c r="C339" i="1"/>
  <c r="C340" i="1"/>
  <c r="C342" i="1"/>
  <c r="C341" i="1"/>
  <c r="C343" i="1"/>
  <c r="C344" i="1"/>
  <c r="C345" i="1"/>
  <c r="C346" i="1"/>
  <c r="C347" i="1"/>
  <c r="C348" i="1"/>
  <c r="C349" i="1"/>
  <c r="C351" i="1"/>
  <c r="C350" i="1"/>
  <c r="C352" i="1"/>
  <c r="C353" i="1"/>
  <c r="C354" i="1"/>
  <c r="C355" i="1"/>
  <c r="C356" i="1"/>
  <c r="C357" i="1"/>
  <c r="C360" i="1"/>
  <c r="C358" i="1"/>
  <c r="C359" i="1"/>
  <c r="C361" i="1"/>
  <c r="C362" i="1"/>
  <c r="C364" i="1"/>
  <c r="C363" i="1"/>
  <c r="C365" i="1"/>
  <c r="C366" i="1"/>
  <c r="C367" i="1"/>
  <c r="C368" i="1"/>
  <c r="C371" i="1"/>
  <c r="C369" i="1"/>
  <c r="C372" i="1"/>
  <c r="C374" i="1"/>
  <c r="C373" i="1"/>
  <c r="C375" i="1"/>
  <c r="C379" i="1"/>
  <c r="C378" i="1"/>
  <c r="C381" i="1"/>
  <c r="C383" i="1"/>
  <c r="C380" i="1"/>
  <c r="C382" i="1"/>
  <c r="C385" i="1"/>
  <c r="C384" i="1"/>
  <c r="C387" i="1"/>
  <c r="C386" i="1"/>
  <c r="C388" i="1"/>
  <c r="C389" i="1"/>
  <c r="C390" i="1"/>
  <c r="C392" i="1"/>
  <c r="C391" i="1"/>
  <c r="C393" i="1"/>
  <c r="C396" i="1"/>
  <c r="C394" i="1"/>
  <c r="C395" i="1"/>
  <c r="C397" i="1"/>
  <c r="C398" i="1"/>
  <c r="C401" i="1"/>
  <c r="C403" i="1"/>
  <c r="C402" i="1"/>
  <c r="C405" i="1"/>
  <c r="C408" i="1"/>
  <c r="C404" i="1"/>
  <c r="C407" i="1"/>
  <c r="C406" i="1"/>
  <c r="C410" i="1"/>
  <c r="C412" i="1"/>
  <c r="C409" i="1"/>
  <c r="C411" i="1"/>
  <c r="C413" i="1"/>
  <c r="C414" i="1"/>
  <c r="C416" i="1"/>
  <c r="C418" i="1"/>
  <c r="C415" i="1"/>
  <c r="C417" i="1"/>
  <c r="C419" i="1"/>
  <c r="C421" i="1"/>
  <c r="C423" i="1"/>
  <c r="C420" i="1"/>
  <c r="C422" i="1"/>
  <c r="C424" i="1"/>
  <c r="C425" i="1"/>
  <c r="C426" i="1"/>
  <c r="C427" i="1"/>
  <c r="C428" i="1"/>
  <c r="C430" i="1"/>
  <c r="C429" i="1"/>
  <c r="C433" i="1"/>
  <c r="C431" i="1"/>
  <c r="C432" i="1"/>
  <c r="C434" i="1"/>
  <c r="C435" i="1"/>
  <c r="C436" i="1"/>
  <c r="C439" i="1"/>
  <c r="C441" i="1"/>
  <c r="C440"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4" i="1"/>
  <c r="C485" i="1"/>
  <c r="C486" i="1"/>
  <c r="C487" i="1"/>
  <c r="C488" i="1"/>
  <c r="C489" i="1"/>
  <c r="C490" i="1"/>
  <c r="C491" i="1"/>
  <c r="C492" i="1"/>
  <c r="C493" i="1"/>
  <c r="C494" i="1"/>
  <c r="C496" i="1"/>
  <c r="C495" i="1"/>
  <c r="C497" i="1"/>
  <c r="C498" i="1"/>
  <c r="C499" i="1"/>
  <c r="C500" i="1"/>
  <c r="C501" i="1"/>
  <c r="C502" i="1"/>
  <c r="C503" i="1"/>
  <c r="C504" i="1"/>
  <c r="C505" i="1"/>
  <c r="C506" i="1"/>
  <c r="C507" i="1"/>
  <c r="C508" i="1"/>
  <c r="C510" i="1"/>
  <c r="C509" i="1"/>
  <c r="C511" i="1"/>
  <c r="C513" i="1"/>
  <c r="C512" i="1"/>
  <c r="C515" i="1"/>
  <c r="C514" i="1"/>
  <c r="C516" i="1"/>
  <c r="C517" i="1"/>
  <c r="C518" i="1"/>
  <c r="C524" i="1"/>
  <c r="C525" i="1"/>
  <c r="C526" i="1"/>
  <c r="C527" i="1"/>
  <c r="C528" i="1"/>
  <c r="C529" i="1"/>
  <c r="C530" i="1"/>
  <c r="C531" i="1"/>
  <c r="C532" i="1"/>
  <c r="C533" i="1"/>
  <c r="C534" i="1"/>
  <c r="C535" i="1"/>
  <c r="C536" i="1"/>
  <c r="C537" i="1"/>
  <c r="C538" i="1"/>
  <c r="C539" i="1"/>
  <c r="C540" i="1"/>
  <c r="C541" i="1"/>
  <c r="C542" i="1"/>
  <c r="C543" i="1"/>
  <c r="C545" i="1"/>
  <c r="C544" i="1"/>
  <c r="C546" i="1"/>
  <c r="C547" i="1"/>
  <c r="C548" i="1"/>
  <c r="C549" i="1"/>
  <c r="C550" i="1"/>
  <c r="C551" i="1"/>
  <c r="C552" i="1"/>
  <c r="C553" i="1"/>
  <c r="C554" i="1"/>
  <c r="C555" i="1"/>
  <c r="C556" i="1"/>
  <c r="C557" i="1"/>
  <c r="C558" i="1"/>
  <c r="C559" i="1"/>
  <c r="C56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<sst xmlns="http://schemas.openxmlformats.org/spreadsheetml/2006/main" count="2664" uniqueCount="1918">
  <si>
    <t>【今日の人工衛星】1/1 1990年：JCSAT-2 日本のJSAT(現・スカパーJSAT)保有の通信衛星。タイタンIIIロケットで打上、東経154度からサービスを提供。現在は寿命が切れている。</t>
  </si>
  <si>
    <t>【今日の人工衛星】1/2 1959年：ルナ1号 旧ソ連の月探査機。旧ソ連は失敗した打上に番号を振らないため、月を目指した探査機としては4機目。月着陸には失敗したが人類初の人工惑星となった。</t>
  </si>
  <si>
    <t>【今日の人工衛星】1/3 1999年：マーズ・ポーラー・ランダー アメリカの火星探査機。火星の近傍までは無事に到着したものの、通信が途絶え、行方不明となった。現在も探査機の跡は見つかっていない</t>
  </si>
  <si>
    <t>【今日の人工衛星】1/4 1963年：スプートニク25号 旧ソ連の月探査機。世界初の月軟着陸を目指し着陸機を搭載。月面の写真を撮影する予定だったが、地球周回軌道からの脱出に失敗、大気圏に再突入した。</t>
  </si>
  <si>
    <t>【今日の人工衛星】1/5 1969年：ベネラ5号 旧ソ連の金星探査機。ベネラ4号の観測結果を踏まえ、大気の測定がより精密に出来るようにされていた。</t>
  </si>
  <si>
    <t>【今日の人工衛星】1/6 2003年：Coriolis アメリカの打ち上げた衛星。海面を吹く風を観測するWindSatと、太陽からの物質の放出を観測するSMEIを搭載</t>
  </si>
  <si>
    <t>【今日の人工衛星】1/7 1998年：ルナ・プロスペクター アメリカの月探査機。クレメンタインの観測が示唆した月面の氷の存在の検証が重要な目的。中性子線分光計により水素の存在が確認され、水の存在の示唆が得られた</t>
  </si>
  <si>
    <t>★1985年の今日1/8 4:26、M-3SIIロケット1号機でハレー彗星探査試験機さきがけが打ち上げられました。</t>
  </si>
  <si>
    <t>【今日の人工衛星】1/8 1985年：さきがけ　日本のハレー彗星探査機。8/19に打ち上げられた「すいせい」の姉妹機にあたり、さきがけでの経験が「すいせい」にフィードバックされた。</t>
  </si>
  <si>
    <t>【今日の人工衛星】1/9 1990年：STS-32 スペースシャトル・コロンビアの打上。通信衛星の打ち上げと、長期暴露試験衛星LDEFの回収が目的。LDEFは6年間も宇宙を漂っていた。</t>
  </si>
  <si>
    <t>【今日の人工衛星】1/10 1969年：ベネラ6号 旧ソ連の金星探査機。ベネラ4号の観測結果を踏まえた改良がなされた、1/5打上の5号の同型機。5,6号ともに金星に無事到達、降下カプセル投下にも成功。</t>
  </si>
  <si>
    <t>【今日の人工衛星】1/11 1996年：STS-72 エンデバーの打上、若田光一飛行士の初のフライト。H-IIロケットで打ち上げた宇宙実験・観測フリーフライヤ (SFU)の回収が主な目的であった</t>
  </si>
  <si>
    <t>【今日の人工衛星】1/12 2005年：ディープインパクト　アメリカの探査機。テンペル１彗星に衝突体を衝突させ、クレーターを生成、彗星の内部構造を調査するもの。調査は無事成功。現在はエキポシと改名、他の彗星などを観測</t>
  </si>
  <si>
    <t>【今日の人工衛星】1/13 1993年：STS-54 スペースシャトル・エンデバーの5回目の打上。データ中継衛星TDRS-Fの打上などを実施。</t>
  </si>
  <si>
    <t>【今日の人工衛星】1/14 1996年：Koreasat2 韓国通信(KT)が保有する通信・放送衛星。放送衛星の任務はKoreasat3に引き継がれている。</t>
  </si>
  <si>
    <t>【今日の人工衛星】1/15 1991年：Italsat 1 イタリア初の実用の通信衛星。12,000回線分の通信が可能。現在は引退し墓場軌道に移っている</t>
  </si>
  <si>
    <t>【今日の人工衛星】1/15 1995年：自立帰還型無人宇宙実験システム(EXPRESS) M-3SIIロケット8号機で打上。軌道再突入試験を目的としていたが実験は失敗。機体はガーナに着陸しており、翌年回収された。</t>
  </si>
  <si>
    <t>★1995年の今日1/15 22:45、M-3SIIロケット8号機で自立帰還型無人宇宙実験システム(EXPRESS) が打ち上げられました。重量過多による異常振動のため予定の軌道には投入できず実験は失敗しました。機体自体は翌年回収されました。</t>
  </si>
  <si>
    <t xml:space="preserve">【今日の人工衛星】1/16 2003年：STS-107 スペースシャトル・コロンビアの打上。コロンビアは、同年2月1日の地球帰還時に空中分解事故を起こしている。 </t>
  </si>
  <si>
    <t>【今日の人工衛星】1/17 1968年：Ferret 11 アメリカの軍事衛星。ソ連の防空レーダーの観測、音声通信の傍受、ミサイルや衛星の通信の記録などを行った</t>
  </si>
  <si>
    <t>【今日の人工衛星】1/18 1963年：1965-003A アメリカ空軍の打ち上げた物体。詳細情報はNSSDCからは確認できず。1979年に消滅した模様。</t>
  </si>
  <si>
    <t>【今日の人工衛星】1/20 1978年：プログレス1号 旧ソ連・ロシアの宇宙補給船プログレスの初号機。サリュート6号への物資輸送に使用した。その後プログレスは42機作成、現在は次々世代のプログレスが使用されている</t>
  </si>
  <si>
    <t>【今日の人工衛星】1/21 1964年：Relay 2 アメリカの実験通信衛星。初の太平洋横断TV中継を行ったのはRelay1だが、その同型機</t>
  </si>
  <si>
    <t>【今日の人工衛星】1/22 2011年：HTV-2 日本の宇宙ステーション補給機の2号。このときから「こうのとり」の愛称がつけられた。国際宇宙ステーションへの補給を無事に完了した。</t>
  </si>
  <si>
    <t>【今日の人工衛星】1/23 1984年：ゆり2号a　日本の放送衛星。打ち上げ直後に太陽電池の故障が見つかったため、NHKの衛星放送は2チャンネルの予定を1チャンネルに縮小することを余儀なくされた</t>
  </si>
  <si>
    <t>【今日の人工衛星】1/23 2009年：いぶき　日本の地球観測衛星。温室効果ガス測定を目的としている。当初の計画に変更が加えられ、京都議定書への寄与する観測に重点が絞られている</t>
  </si>
  <si>
    <t>★2009年の今日1/23 12:54、H-IIAロケット15号機で温室効果ガス観測技術衛星いぶき（GOSAT）と相乗り衛星7基が打ち上げられました。</t>
  </si>
  <si>
    <t>★H-IIAロケット15号機の打上から24分後、小型実証衛星1型（JAXA）が分離されました。</t>
  </si>
  <si>
    <t>★H-IIAロケット15号機の打上から28分後、雷神（東北大・スプライト観測衛星）が分離されました。</t>
  </si>
  <si>
    <t>★H-IIAロケット15号機の打上から32分後、まいど1号（東大阪宇宙開発協同組合）が分離されました。</t>
  </si>
  <si>
    <t>★H-IIAロケット15号機の打上から36分後、かがやき（ソラン（株））が分離されました。</t>
  </si>
  <si>
    <t>★H-IIAロケット15号機の打上から40分後、輝汐（航空高専）が分離されました。</t>
  </si>
  <si>
    <t>★H-IIAロケット15号機の打上から45分後、空海（香川大学）が分離されました。</t>
  </si>
  <si>
    <t>【今日の人工衛星】1/24 1990年：MUSES-A[ひてん] 工学実験衛星、M-3SII 5号機で20:46打ち上げ。初のエアロブレーキ実験に成功、日本がスウィングバイを含め衛星を自由に操る技術を習得することができた。</t>
  </si>
  <si>
    <t>★2006年の今日1/24 10:33、H-IIAロケット8号機で地球観測衛星だいち(ALOS)が打ち上げられました。</t>
  </si>
  <si>
    <t>★1990年の今日1/24 20:46、M-3SIIロケット5号機で工学実験衛星ひてん（MUSES-A）が打ち上げられました。</t>
  </si>
  <si>
    <t>【今日の人工衛星】1/25 1994年：Clementine[クレメンタイン] 月探査衛星。月の南極に常に日光が当たらない領域(永久影)を発見。水の存在の示唆を得る。タイタン23Gで8:34に打ち上げ。</t>
  </si>
  <si>
    <t xml:space="preserve">【今日の人工衛星】1/26 1978年：IUE[別名：エクスプローラー57号]紫外線天文衛星、アメリカ航空宇宙局(NASA)/欧州宇宙機関(ESA)/イギリス科学研究評議会(SRC)の共同開発。 </t>
  </si>
  <si>
    <t>【今日の人工衛星・番外編】1/27 1967年：アポロ1号事故　発射台にて発射の予行演習中に火災が発生、船長ガス・グリソム、副操縦士エドワード・ホワイト、飛行士ロジャー・チャフィーの3人の飛行士が犠牲となった。ガス・グリソムはマーキュリー計画の飛行士の1人。</t>
  </si>
  <si>
    <t xml:space="preserve">【今日の人工衛星】1/28 1986年：スペースシャトル「チャレンジャー号」爆発事故、7名の乗員が犠牲になり、TDRS-B[データ中継衛星]/Spartan(ハレー彗星観測衛星)が失われた。 </t>
  </si>
  <si>
    <t xml:space="preserve">【今日の人工衛星】1/29 1964年：Saturn-SA5[サターンI型ロケット]5回目の打ち上げ実験。アポロ計画における初の搭載物が地球周回軌道投入、総重量は16t以上に及んだ。 </t>
  </si>
  <si>
    <t>【今日の人工衛星】1/30 1969年：ISIS 1 カナダの電離層研究のための科学衛星、1984年の運用終了後、1990年まで日本が使用した。  どういう経緯で日本が使用権を得たんだろう…</t>
  </si>
  <si>
    <t xml:space="preserve">【今日の人工衛星】1/31 1966年：ルナ9号 世界初の月面軟着陸。1971年：アポロ14号 アメリカ人初の宇宙飛行士アラン・シェパードが船長。彼は人類初の月面ゴルフをした。 </t>
  </si>
  <si>
    <t xml:space="preserve">【今日の人工衛星】2/1 1958年：エクスプローラー1号 米国初の人工衛星。重量13kg、スプートニク1号の83kgより軽量。 そして、2003年のコロンビア号空中分解事故の日でもあります… </t>
  </si>
  <si>
    <t xml:space="preserve">【今日の人工衛星】2/2 2007年：北斗2A号(1D号とも) 北斗-2計画の初号機。現在使用されているかは不明。 2009年：オミド イラン初の国産人工衛星。イラン革命30周年記念。  </t>
  </si>
  <si>
    <t>【今日の人工衛星】2/3 1966年：ESSA 1 米国環境科学局が管理する気象衛星1号機</t>
  </si>
  <si>
    <t>★1994年の今日2/4 7:20、H-IIロケット1号機が打ち上げられました。日本のロケットとして主要技術を全て国内で開発した初めてのロケットでした。</t>
  </si>
  <si>
    <t>★2002年の今日2/4 11:45、H-IIAロケット2号機でDASH[高速再突入実験機]・つばさ[民生部品・コンポーネント実証衛星]が打ち上げられました。打上自体は成功しましたが、DASHはフェアリングからの分離に失敗しました。</t>
  </si>
  <si>
    <t>★1978年の今日2/4 16:00、M-3Hロケット2号機でオーロラ観測衛星EXOS-A[きょっこう]が打ち上げられました。</t>
  </si>
  <si>
    <t>【今日の人工衛星】2/5 1987年：ASTRO-C[ぎんが]X線天文衛星、M-3SII 3号機で打ち上げ。超新星1987Aの観測に成功。1991年11月1日に大気圏に突入し消滅。</t>
  </si>
  <si>
    <t>★1987年の今日2/5 15:30、M-3SIIロケット3号機でX線天文衛星ASTRO-C[ぎんが]が打ち上げられました。</t>
  </si>
  <si>
    <t>【今日の人工衛星】2/6 1979年：あやめ1号 N-I 5号機で打ち上げ、静止衛星軌道への投入失敗。日本のかつての苦労が偲ばれます。</t>
  </si>
  <si>
    <t>★1979年の今日2/6 17:46、N-Iロケット5号機であやめ1号が打ち上げられました。静止トランスファ軌道への投入は成功したものの、アポジモーター噴射中に通信が途絶、静止軌道への投入は失敗しました。</t>
  </si>
  <si>
    <t>【今日の人工衛星】2/7 1999年：スターダスト 彗星の塵を初めて回収。2004年にヴィルト第2彗星の塵を採取、2006年にカプセルは帰還。2011年2月14日にテンペル第1彗星をフライバイ、ディープインパクトが作ったクレーターを観測した。同年3月24日に運用終了。</t>
  </si>
  <si>
    <t>【今日の人工衛星】2/7 1990年もも1号b 日本の海洋観測衛星。伸展展開機能実験ペイロード「おりづる」、アマチュア無線衛星「ふじ2号」と同時に打上。</t>
  </si>
  <si>
    <t>★1990年の今日2/7 10:33、H-Iロケット6号機でもも1号bが、伸展展開機能実験ペイロード「おりづる」、アマチュア無線衛星「ふじ2号」と同時に打ち上げられました。</t>
  </si>
  <si>
    <t>【今日の人工衛星】2/8 1985年：Arabsat1,Brazilsat1 アラブ同盟とブラジルの通信放送衛星、アリアン3で同時打ち上げ。</t>
  </si>
  <si>
    <t>【今日の人工衛星】2/9 1969年：TacSat1 アメリカの軍事衛星。 1983年：NOSS1-4 アメリカの偵察衛星システム。3つの衛星が組みになって無線送信を探知する。</t>
  </si>
  <si>
    <t>【今日の人工衛星】2/10 1998年：GFO(Geosat Follow-On) 海面と衛星の距離を3.5cmの精度で測定できる衛星。2008年10月22日に運用停止。 http://gfo.wff.nasa.gov/</t>
  </si>
  <si>
    <t>【今日の人工衛星】2/10 2000年：ASTRO-E X線天文衛星。M-Vロケット4号機で打ち上げたが、1段目のノズル破損により速度不足となり、打上に失敗した。</t>
  </si>
  <si>
    <t>★2000年の今日2/10 10:30、M-Vロケット4号機が打ち上げられましたが、1段目のノズル破損によりX線天文衛星ASTRO-Eの打上は失敗しました。M-Vロケット唯一の打上失敗です。</t>
  </si>
  <si>
    <t>【今日の人工衛星】2/11 1970年：おおすみ 日本初の人工衛星。世界で4番目に自力打ち上げに成功した。 1992年：ふよう 地球資源衛星。日本初の合成開口レーダー搭載衛星。6年間活動した。</t>
  </si>
  <si>
    <t>【今日の人工衛星】2/11 1981年：きく3号　N-IIロケットの静止トランスファ軌道投入性能の確認、大型衛星の開発技術の習得を目的とした。ETS-IVであるがETS-IIIと打上順序が入れ替わったため、打上順につけられた愛称は3号となっている</t>
  </si>
  <si>
    <t>★1992年の今日2/11 10:50、H-Iロケット9号機で地球観測衛星ふよう1号が打ち上げられました。</t>
  </si>
  <si>
    <t>★1970年の今日2/11 13:25、日本初の人工衛星おおすみが打ち上げられました。世界で4番目。世界でも希有な「民生技術として開発された」ロケット。「無誘導重力ターン」で軌道投入という点も特徴的です。おおすみは2003年8月2日まで飛び続けました。</t>
  </si>
  <si>
    <t>★1981年の今日2/11 17:30、N-IIロケット1号機できく3号が打ち上げられました。N-IIロケットの性能試験を兼ねた打上でした。</t>
  </si>
  <si>
    <t>【今日の人工衛星】2/12 2000年：Garuda1 インドネシアの静止衛星、ACesという衛星通信・電話サービスを提供。 1986年：BS-2B[ゆり2号b] ゆり2号aのバックアップだか、2号a・ゆり3号aの不具合があり、それぞれをサポートした。</t>
  </si>
  <si>
    <t>【今日の人工衛星】2/12 1997年：はるか(MUSES-B) 電波天文衛星。M-Vロケット初号機で打上。地上の電波望遠鏡と連携して巨大な電波望遠鏡と同等の性能を出すVLBIの宇宙側の望遠鏡として打上られ、スペースVLBIを実現した。</t>
  </si>
  <si>
    <t>★1997年の今日2/12 13:50、M-Vロケット1号機で工学試験衛星はるか(MUSES-B)が打ち上げられました。</t>
  </si>
  <si>
    <t>【今日の人工衛星】2/13 1981年：コスモス1245号　旧ソ連の偵察衛星ゼニット6。低高度からの高解像度ミッションと、高高度からの広範囲観測ミッションの双方に使用。なぜ軍事衛星かというと、これしか衛星がないのよね…</t>
  </si>
  <si>
    <t>【今日の人工衛星】2/14 1984年：おおぞら 中層大気観測衛星。打ち上げ時にロケットと衝突したものの、当初計画した科学的成果を上げた。1980年：SMM 太陽観測を行ったNASAの衛星。1984年にはチャレンジャー号により修理を受ける。</t>
  </si>
  <si>
    <t>【今日の人工衛星】2/15 1967年：Diademe 2 フランスの測地衛星。予定より低い高度に投入された。打ち上げはディアマンAロケットで、アルジェリアにあったアマギール射場からの最後の衛星。</t>
  </si>
  <si>
    <t>【今日の人工衛星】2/16 1971年：たんせい1号 Muロケット初の衛星、ロケットの性能確認が主目的。名前の由来は東大のスクールカラーの「淡青」。 1974年：たんせい2号 衛星制御システムの試験を目的とした衛星</t>
  </si>
  <si>
    <t>【今日の人工衛星】2/16 1961年：Explorer 9 大気密度測定を目的とした衛星。純粋な固定燃料ロケットで初めて打ち上げられた衛星。1978年：うめ2号 1976年打ち上げの1号が1ヶ月で機能しなくなったために打ち上げられた。</t>
  </si>
  <si>
    <t>★1971年の今日2/16 13:00、M-4Sロケット2号機でたんせい1号が打ち上げられました。</t>
  </si>
  <si>
    <t>★1974年の今日2/16 14:00、M-3Cロケット1号機でたんせい2号が打ち上げられました。</t>
  </si>
  <si>
    <t>【今日の人工衛星】2/17 1996年：NEARシューメーカー 初めて小惑星とランデブーした衛星。小惑星エロスを探査。 2007年：THEMIS NASAのオーロラ嵐の引き金となる現象を調べる衛星。5機同時に打ち上げ観測。</t>
  </si>
  <si>
    <t>【今日の人工衛星】2/17 1980年：たんせい4号 M-3Sロケットの打ち上げ性能試験、及び後続の科学衛星で使われる様々な技術の試験が目的。</t>
  </si>
  <si>
    <t>★1980年の今日2/17 9:40、M-3Sロケット1号機でたんせい4号が打ち上げられました。</t>
  </si>
  <si>
    <t>【今日の人工衛星】2/18 2000年：SUPERBIRD B2 スカパーJSATが保有する通信衛星。アリアン4ロケットで打上。東経162度の静止軌道から日本全国に通信サービスを提供。</t>
  </si>
  <si>
    <t>★2006年の今日2/18 15:27、H-IIAロケット9号機でひまわり7号が打ち上げられました。1ヶ月以内に2基の大型ロケット打上（だいち、ひまわり7号）に成功したのは日本初でした。</t>
  </si>
  <si>
    <t>【今日の人工衛星】2/19 1977年：たんせい3号 M-3Hロケットの試験、姿勢制御を実験。ヒートパイプや、誤作動が発生したが、これが後の衛星に活かされている 1988年：さくら3a号 実験用通信衛星さくらの3代目</t>
  </si>
  <si>
    <t>【今日の人工衛星】2/19 1987年：もも1号 海洋観測衛星。N-IIロケット8号機で打上。日本初の地球観測衛星である。</t>
  </si>
  <si>
    <t>★1977年の今日2/19 14:15、M-3Hロケット1号機でたんせい3号が打ち上げられました。</t>
  </si>
  <si>
    <t>【今日の人工衛星】2/20 1983年：てんま ISASのX線天文衛星2代目。観測運用は2年半にとどまった。 2001年：Odin スウェーデンのサブミリ波観測衛星。酸素分子からなる星間雲の存在を初めて発見。</t>
  </si>
  <si>
    <t>【今日の人工衛星】2/20 1993年：あすか 宇宙X線観測衛星。M-3SIIロケット7号機で打上。2000年7月14日の太陽フレアによる地球大気膨張の影響で姿勢が乱れ観測不能に。2001年3月2日に大気圏に突入、消滅した。</t>
  </si>
  <si>
    <t>【今日の人工衛星】2/20(UTC、日本時間翌21日6:28) 2006年：あかり 赤外線天文衛星。赤外線観測のため望遠鏡を冷やす液体ヘリウムを搭載、消費し尽くす前に全天の94%の観測を完了した。バッテリーの劣化等のため、2011年11月24日に運用を終了した。</t>
  </si>
  <si>
    <t>★1993年の今日2/20 11:00、M-3SIIロケット7号機でX線天文衛星あすかが打ち上げられました。</t>
  </si>
  <si>
    <t>★1983年の今日2/20 14:10、M-3Sロケット3号機でX線天文衛星てんまが打ち上げられました。</t>
  </si>
  <si>
    <t>★2006年の今日2/21 6:28、M-Vロケット8号機で赤外線天文衛星あかりが打ち上げられました。</t>
  </si>
  <si>
    <t>★2006年2月21日6:28に打ち上げられたM-Vロケット8号機には、ソーラーセイルサブペイロード(SSP)も搭載され、ソーラーセイルの展開実験が行われました。実験自体は失敗しました。</t>
  </si>
  <si>
    <t>★2006年2月21日6:28に打ち上げられたM-Vロケット8号機には、もう1つのサブペイロードCute-1.7+APDも搭載されていました。初期運用には成功したものの、放射線により故障、姿勢制御やテーザー放出は行えませんでした。</t>
  </si>
  <si>
    <t>【今日の人工衛星】2/21 1979年：はくちょう 日本初のX線天文衛星。打ち上げ失敗したCORSAを3年で作り直して打ち上げたもの。 1981年：ひのとり 日本初の太陽観測衛星。命名は手塚治虫の同名漫画による。約10年間運用された。</t>
  </si>
  <si>
    <t>【今日の人工衛星】2/21(UTC、日本時間翌22日8:30) 1989年：あけぼの 地球磁気圏観測衛星、設計寿命の1年を大きく越えて、2015年4月23日まで26年間運用された。太陽活動周期2周期(22年)分の観測も達成した。</t>
  </si>
  <si>
    <t>【今日の人工衛星】2/21 1998年：かけはし 通信放送技術衛星。移動体通信の実験が目的。H-IIロケット5号機で打上られたが、2段目の燃焼が短く、静止軌道への投入は失敗した。低軌道でも行える実験は実施された。</t>
  </si>
  <si>
    <t>★1981年の今日2/21 9:30、M-3Sロケット2号機で太陽観測衛星ひのとりが打ち上げられました。</t>
  </si>
  <si>
    <t>★1979年の今日2/21 14:00、M-3Cロケット4号機でX線天文衛星はくちょうが打ち上げられました。</t>
  </si>
  <si>
    <t>★1998年の今日2/21 16:55、H-IIロケット5号機で通信放送技術衛星かけはしが打ち上げられました。2段目LE-5Aの2回目の燃焼が予定より短く、静止軌道への投入は成功しませんでした。</t>
  </si>
  <si>
    <t>【今日の人工衛星】2/22 1980年：あやめ2号 実験用静止通信衛星、失敗したあやめ1号の予備衛星だが、アポジモーターの不具合により衛星軌道への投入は失敗。 1986年：Viking スウェーデンの最初の衛星。</t>
  </si>
  <si>
    <t>★1989年の今日2/22 8:30、M-3SIIロケット4号機で地球磁気圏観測衛星あけぼのが打ち上げられました。</t>
  </si>
  <si>
    <t>★1980年の今日2/22 17:35、N-Iロケット6号機であやめ2号が打ち上げられました。</t>
  </si>
  <si>
    <t>★2008年の今日2/23 17:55、H-IIAロケット14号機で超高速インターネット衛星きずな(WINDS)が打ち上げられました。</t>
  </si>
  <si>
    <t>【今日の人工衛星】2/24 2007年：IGS 4A/B 情報収集衛星(レーダー2号/光学3号機実証機)4Aは電源のトラブルにより2010年に運用停止。</t>
  </si>
  <si>
    <t>【今日の人工衛星】2/24 1969年：マリナー6号 7号と共に火星を探査。6号は7号の探査に向けた情報提供も目的とした。両者により火星の表面の20%を撮影。 1975年：たいよう 熱圏観測衛星で、主目的は地球の観測。</t>
  </si>
  <si>
    <t>★2007年の今日2/24 17:55、H-IIAロケット12号機で情報収集衛星(レーダー2号/光学3号機実証機)が打ち上げられました。</t>
  </si>
  <si>
    <t>【今日の人工衛星】2/25 1996年：TSS-1R 電離層の探査を目的とした衛星。スペースシャトル・コロンビア号で打ち上げ。シャトルと細いテザー(ひも)でつながったまま飛行し調査を行なった。</t>
  </si>
  <si>
    <t>【今日の人工衛星】2/26 2005年：MTSAT-1R[ひまわり6号] 運輸多目的衛星新1号、日本時間18:25に打ち上げ。H-IIAが日本の空に蘇った日でもある。これ以降H-IIAは連続して打ち上げ成功している。</t>
  </si>
  <si>
    <t>【今日の人工衛星】2/26 1992年：SUPERBIRD B 旧・宇宙通信（現・スカパーJSAT）保有の通信衛星。東経162度に位置する。アリアン4ロケットで打上。</t>
  </si>
  <si>
    <t>★2005年の今日（2005年2月25日18時25分）、H-IIAロケット7号機によりMTSAT-1R(ひまわり6号)が打ち上げ。日本の空に主力ロケットと気象衛星が蘇った日。これ以降H-IIAは連続して打ち上げ成功している。</t>
  </si>
  <si>
    <t>【今日の人工衛星】2/27 1979年：Intercosmos19 旧ソ連の衛星。国際磁気圏観測計画 (IMS、1976～1979年に実施) に参加した（日本からは「きょっこう」「うめ」「うめ2号」「じきけん」が参加）</t>
  </si>
  <si>
    <t>【今日の人工衛星】2/28 1959年：Discoverer1 アメリカの偵察衛星計画「コロナ」の初号機。KH-1型衛星のプロトタイプであったが、カメラやフィルムカプセルはどちらも搭載せず、軌道投入も失敗した。</t>
  </si>
  <si>
    <t>02/29 07:00:00</t>
  </si>
  <si>
    <t>【今日の人工衛星】2/29 1976年：うめ 電離層観測を実施、世界で初めて電離層臨界周波数の地球周回分布を明らかにしたが、約1ヶ月で機能しなくなってしまった。</t>
  </si>
  <si>
    <t>02/29 12:30:00</t>
  </si>
  <si>
    <t>★1976年の今日2/29 12:30、N-Iロケット2号機で電離層観測衛星うめが打ち上げられました。打上1ヶ月後、全日照状態で温度が上がりすぎバッテリが故障、運用を終了しました。</t>
  </si>
  <si>
    <t>【今日の人工衛星】3/1 2002年：ENVISAT1 欧州の地球観測衛星。重量8.2tとESA最大の衛星。ASAR（高性能合成開口レーダ）による全天候性が強み。</t>
  </si>
  <si>
    <t>【今日の人工衛星】3/3 1972年：Pioneer10 NASAの惑星探査機、人類初の木星探査機。初めて太陽系脱出速度に達した衛星でもある(後に距離ではボイジャー1号に抜かれる)。2003年1月22日以降通信は途絶。</t>
  </si>
  <si>
    <t>【今日の人工衛星】3/5 2010年：遥感9A号、9B号、9C号 中国の地球観測衛星、名前は「リモートセンシング」の意味。中国は民生目的だと発表しているが、軍事衛星としても利用されている、という説がある。</t>
  </si>
  <si>
    <t>【今日の人工衛星】3/9 2008年：Jules Verne 欧州補給機（ATV）の初号機。約3.3tの物資を輸送。ISSの軌道変更能力も持つ。打ち上げは専用型(アリアン5 ES)で、アリアン5 ECAの強力な第1段とアリアン5 Gの再着火可能な第2段を組み合わせている。</t>
  </si>
  <si>
    <t>【今日の人工衛星】3/10 1970年：DIAL WIKA(独)/DIAL MIKA(仏) 仏のディアマンBロケット初号機で打ち上げた技術試験衛星。1975年：Jumpseat 3(米)モルニヤ軌道を回る偵察衛星。</t>
  </si>
  <si>
    <t>【今日の人工衛星】3/11 2008年：STS-123(エンデバー) 人工衛星というかスペースシャトルですが。日本の実験棟「きぼう」組み立ての第1回目の飛行で、船内保管室を輸送しました。土井隆雄飛行士の2回目の飛行に当たります。</t>
  </si>
  <si>
    <t>★2008年の今日3/11 15:28(UTC 6:28)、スペースシャトル・エンデバーにより、日本の実験棟「きぼう」の船内保管室が打ち上げられました。</t>
  </si>
  <si>
    <t>【今日の人工衛星】3/12 1985年：GEOSAT アメリカ海軍の地球観測衛星。海水面の高さを5cm単位で測定するレーダーを搭載していた。</t>
  </si>
  <si>
    <t>【今日の人工衛星】3/13 2004年：MBSat 日韓共同利用の移動体向け放送衛星。同じ周波数帯を両国で使うための工夫もされていた。日本向けサービスは2009年3月31日15時に終了。</t>
  </si>
  <si>
    <t>【今日の人工衛星】3/14 1992年：Galaxy 5 アメリカの商業通信衛星、放送衛星。　2008年：AMC-14 アメリカの通信衛星。プロトンロケットの上段Briz-Mの不具合により所定の軌道に投入できず。</t>
  </si>
  <si>
    <t>【今日の人工衛星】3/15 1976年：Solrad 11A/B　NASAのガンマ線検出器を搭載した双子の衛星。</t>
  </si>
  <si>
    <t>【今日の人工衛星】3/16 1966年：ジェミニ8号 ジェミニ計画の有人宇宙船、ドッキングと船外活動実験を計画していた。標的機となる無人機とのドッキング後姿勢制御システムが故障、アームストロング船長（のちにアポロ11号船長）が大気圏再突入システムを手動で制御して無事に帰還した。</t>
  </si>
  <si>
    <t>【今日の人工衛星】3/17 1958年：ヴァンガード1号　アメリカで2番目の人工衛星。世界で最初に太陽電池を搭載した人工衛星でもあり、現在も軌道上にある最古の人工天体。</t>
  </si>
  <si>
    <t>【今日の人工衛星】3/18 1995年：ひまわり5号＋SFU H-IIロケット3号機で打ち上げ。ひまわり5号は、のちのMTSAT-1打ち上げ失敗などにより設計寿命の倍、10年間働くことになる。SFUはスペースシャトルミッションSTS-72で若田飛行士により回収、地球に帰還する。</t>
  </si>
  <si>
    <t>★1995年の今日3/18 17:01、H-IIロケット3号機で気象衛星ひまわり5号とSFUが打ち上げられました。SFUは翌1996/1/13に若田宇宙飛行士によって回収され、現在は上野の国立科学博物館に所蔵されています。</t>
  </si>
  <si>
    <t>【今日の人工衛星】3/19 1991年：Progress M-7 プログレス輸送船の2世代目プログレスMの7機目。ドッキングに2回失敗し、ソユーズTM-11(秋山飛行士が打上時に搭乗していた)が離脱した後のポートにドッキング、ミールに補給を行った。</t>
  </si>
  <si>
    <t>【今日の人工衛星】3/20 2010年：エコースター14（EchoStar 14） アメリカ等で衛星放送をしている「DISHネットワーク」社の衛星、重量約6.3tとプロトンロケットが打ち上げた衛星の中で最も重い商業衛星。</t>
  </si>
  <si>
    <t>【今日の人工衛星】3/22 1982年：STS-3(スペースシャトル3回目、コロンビア号) OSS(Office of Space Science)を搭載しシャトル初の科学実験 1996年：STS-76(76回目、アトランティスのミッション)ミールとの3回目のドッキングを実施</t>
  </si>
  <si>
    <t>【今日の人工衛星】3/23 1965年：ジェミニ3号 ジェミニ計画初の有人飛行(1号と2号は基本性能の試験)。船長はガス・グリソムで、彼は世界初の「2回目の宇宙飛行」。試験内容には宇宙食が含まれ、サンドイッチが食された</t>
  </si>
  <si>
    <t>【今日の人工衛星】3/24 1992年：STS-45 スペースシャトル「アトランティス」の11回目の飛行。地球大気観測ミッションATLAS-1が実施され、日本も人工オーロラ実験等を提案、実施した。</t>
  </si>
  <si>
    <t>【今日の人工衛星】3/25 2000年：IMAGE 地球磁気圏観測衛星。NASAが製作した、初の地球磁場観測専用の衛星。4本の250mのワイヤーアンテナを持つ。プラズマやオーロラ等を観測。</t>
  </si>
  <si>
    <t>【今日の人工衛星】3/26 1958年：エクスプローラー3号 アメリカで2番目の人工衛星。1号の実験継続が目的で、ガイガーカウンターを搭載し、宇宙船を観測。1号の成果と合わせてヴァン・アレン帯を発見。なお2号は軌道投入失敗</t>
  </si>
  <si>
    <t>【今日の人工衛星】3/27 1969年：マリナー7号 アメリカの火星探査機。2/24に打ち上げた6号と共に火星を探査。 1972年：ベネラ8号 旧ソ連の金星探査機。着陸船を搭載、50分間にわたり観測、雲の分布等を明らかに。</t>
  </si>
  <si>
    <t>★2003年の今日3/28 10:27、H-IIAロケット5号機で情報収集衛星1号機(光学・レーダ) が打ち上げられました。</t>
  </si>
  <si>
    <t>【今日の人工衛星】3/29 2002年：JCSAT8 / ASTRA 3A アリアン4ロケットで同時打上げ。両方ともボーイング製。JCSATはスカパーJSATの、ASTRA 3AはルクセンブルクSES ASTRAの通信衛星</t>
  </si>
  <si>
    <t>【今日の人工衛星】3/31 1966年：ルナ10号 旧ソ連の月探査衛星。世界で初めて月の周回軌道に投入された。カメラは搭載していなかったが、月の磁場・岩石・大気・重力分布についての情報が得られた。</t>
  </si>
  <si>
    <t>【今日の人工衛星】4/1 1960年：TIROS-1 NASAが打ち上げた世界初の気象衛星。可視光のビデオカメラを搭載し、78日間にわたり気象観測を実施。画像は地上に伝送され、気象衛星というコンセプトを実証した。</t>
  </si>
  <si>
    <t>【今日の人工衛星】4/2 1963年：ルナ4号 旧ソ連の月探査機。3号までの成果を受け月着陸を目指したが失敗。成功は9号。 1998年：TRACE NASAの太陽観測衛星。飛行機からの打ち上げ方式(ペガサスロケット)を採用</t>
  </si>
  <si>
    <t>【今日の人工衛星】4/3 2009年：W2A 仏・ユーテルサット社の衛星モバイル放送対応(=Sバンド対応)の通信衛星 1995年：Orbview1(MicroLab1) 雷光観測衛星。ペガサスロケットで飛行機から打ち上げ</t>
  </si>
  <si>
    <t>【今日の人工衛星】4/4 2009年：WGS-2 米軍の広帯域衛星通信。国家存亡に関わる戦略的事項などを通信する任務を担う。オーストラリアも計画に加入しており、合計6機打ち上げられる予定。</t>
  </si>
  <si>
    <t>【今日の人工衛星】4/5 2010年：STS-131 ディスカバリーの38回目の飛行。山崎直子飛行士が初飛行、日本人の最後の搭乗。7名中3名が女性、ISS長期滞在中1名を含め、過去最多の4人の女性飛行士がISSに滞在</t>
  </si>
  <si>
    <t>【今日の人工衛星】4/6 1973年：パイオニア11号　史上初の土星探査機。木星・土星を観測し、その後も通信が続いていたが、1995年9月30日に電力不足で通信途絶。ちなみに10号は2003年まで通信が続いていた。</t>
  </si>
  <si>
    <t>【今日の人工衛星】4/7 1978年：ゆり1号(日本時間では翌日) 衛星放送の実験衛星。一般家庭向けの放送は行わず 2001年：2001マーズ・オデッセイ NASAの火星探査機。ミッション後、他の探査機の通信の中継も担当</t>
  </si>
  <si>
    <t>【今日の人工衛星】4/8 1964年：ジェミニ1号 マーキュリー計画に続くジェミニ計画の1号機、試験のため無人打上げ 1970年：ヴェラ6号 核実験監視衛星。X線測定器・中性子・ガンマ線測定器を備え、宇宙空間での実験を監視。</t>
  </si>
  <si>
    <t>【今日の人工衛星】4/9 1994年：STS-59 スペースシャトル・エンデバーの6回目の飛行。スペース・レーダー実験室(SRL)を搭載し、地球環境を観測した。</t>
  </si>
  <si>
    <t>【今日の人工衛星】4/10 1982年：INSAT-1A インドの気象・通信・放送衛星。米国デルタロケットで打ち上げ。軌道投入が失敗し1年で寿命となる。インドは気象と通信・放送の相乗りが中心、打ち上げは他国のロケットを使用</t>
  </si>
  <si>
    <t>【今日の人工衛星】4/12 1961年：ボストーク1号 宇宙飛行士ユーリ・ガガーリンが人類初の宇宙飛行（大気圏外を飛行、地球周回軌道に乗る）を行った宇宙船。最高高度327km、地球を1周して108分の飛行の後帰還</t>
  </si>
  <si>
    <t>【今日の人工衛星】4/12 1981年：STS-1 スペースシャトルの栄えある初回の飛行。無事に打ち上げ、機能し、帰還することを目的とした飛行。2日間・地球36周の飛行後、無事に地球に帰還。</t>
  </si>
  <si>
    <t>【今日の人工衛星】4/13 1960年：Transit 1B アメリカ海軍の測位衛星。1Aは打ち上げ失敗したため初号機である。原子力潜水艦などの測位に利用され、精度は25m。</t>
  </si>
  <si>
    <t>【今日の人工衛星】4/13 2006年：JCSAT-5A スカパーJSATの通信衛星。NTTドコモの衛星電話サービスN-STARも担当。Zenit-3SLロケットで打上。</t>
  </si>
  <si>
    <t>【今日の人工衛星】4/14 2009年：コンパスM1 中国の衛星測位システム「北斗2」の初号機。30機の人工衛星で測位システムを整備する予定。</t>
  </si>
  <si>
    <t>【今日の人工衛星】4/15 2005年：DART 米国の、自律的に他の衛星に接近したりドッキングしたりする技術の試験衛星。実験相手の軍事衛星MUBLCOMとの接近を試みるも衝突、軌道が変わってしまい、結果として実験は失敗</t>
  </si>
  <si>
    <t>【今日の人工衛星】4/16 1997年：BSAT-1a 日本の放送衛星。大容量バッテリを搭載することで、それまで衛星放送を担ってきたBS-3(ゆり)と異なり、春と秋の発電量不足による放送休止をなくした。</t>
  </si>
  <si>
    <t>【今日の人工衛星】4/16 2004年：SUPERBIRD A2 スカパーJSATの通信衛星。打上は成功したものの軌道投入に失敗。</t>
  </si>
  <si>
    <t>【今日の人工衛星】4/17 2007年：EgyptSat 1 エジプトが宇宙開発技術を習得するために打ち上げた地球観測衛星。Saudisat 3ほかと16基同時打上げ。</t>
  </si>
  <si>
    <t>【今日の人工衛星】4/18 2001年：GSAT1 インドのGSLVロケット初号機(試験機)で打ち上げた衛星。静止衛星打ち上げ能力の獲得を目的とした。静止トランスファー軌道まで投入できたが、最終的な静止衛星化は失敗。</t>
  </si>
  <si>
    <t>【今日の人工衛星】4/19 1971年：サリュート1号 旧ソ連が打ち上げた世界初の宇宙ステーション。主鏡直径28cmの紫外線望遠鏡も搭載。火事などのトラブルはあったが飛行士の滞在自体は成功。10月11日に大気圏再突入、消滅</t>
  </si>
  <si>
    <t>【今日の人工衛星】4/20 1977年：ESA-GEOS1 欧州宇宙機関(ESA)初の科学観測を行う静止衛星。 2004年：Gravity Probe B　重力探査衛星。相対性理論を「物体の角運動量」が作る時空の歪みで検証</t>
  </si>
  <si>
    <t>【今日の人工衛星】4/21 1997年：Celestis アメリカの商業衛星。衛星に故人の遺灰を乗せて打ち上げるサービス。ご遺骨のうち７ｇが宇宙に飛び立つ</t>
  </si>
  <si>
    <t>【今日の人工衛星】4/22 2010年：OTV1 アメリカ合衆国が開発中の無人スペースプレーンの軌道試験機。同年12月3日に無事に地球に着陸。軌道上に270日滞在が可能</t>
  </si>
  <si>
    <t>【今日の人工衛星】4/23 1967年：ソユーズ1号　有人打上げが夜間に行なわれた最初の例。試験飛行の成功なく打ち上げられ、様々なトラブルに見舞われた上、墜落。有人宇宙飛行の歴史における、最初の飛行中の死亡事故となった</t>
  </si>
  <si>
    <t>【今日の人工衛星】4/24 1972年：アポロ16号子衛星(PFS-2) 月周回軌道上の司令機械船から4/24に子衛星を放出。磁場や太陽風粒子に関する実験を34日間にわたり実施</t>
  </si>
  <si>
    <t>【今日の人工衛星】4/25 1990年：ハッブル宇宙望遠鏡 地上600kmを周回する望遠鏡。主鏡の口径は2.4m、重さ11t。可視光、紫外、近赤外が観測可能。5回の修理ミッションにより現在も世界最高水準の性能を発揮。</t>
  </si>
  <si>
    <t>【今日の人工衛星】4/26 2005年：Spaceway1 米DirecTVの放送衛星。通常の名称と違う命名なのは、元々ヒューズ社の計画だった本衛星がヒューズ社ごとDirecTVの親会社ニューズ社に買収されたため。</t>
  </si>
  <si>
    <t>【今日の人工衛星】4/27 1961年：エクスプローラー11号（別名：S15） 米国の宇宙望遠鏡。世界で初めてガンマ線望遠鏡を搭載。およそ7ヶ月の間、ガンマ線・宇宙線の検出を行った</t>
  </si>
  <si>
    <t>【今日の人工衛星】4/28 1998年：BSAT-1b BS用の放送衛星。BSデジタルの最初の放送を担当。予備衛星となった後もトラブルが続いたBSAT-2aのリリーフを2回行った。2011年8月30日に運用終了。</t>
  </si>
  <si>
    <t>【今日の人工衛星】4/29 1985年：STS-51B チャレンジャー号の打ち上げ。主任務はスペースラブ3（通算2回目）実験</t>
  </si>
  <si>
    <t>【今日の人工衛星】4/30 1976年：NOSS 1-1 アメリカ海軍が使う海上監視衛星(Naval Ocean Surveillance System)の初代。3機が一組で海上からの電波を監視するものと推測されている</t>
  </si>
  <si>
    <t>【今日の人工衛星】5/1 1978年：DMSP 5D-1/F03 アメリカ空軍の気象衛星。DMSP(防衛用気象衛星プログラム)の一環。暗い光を観測できる仕様のため、「宇宙から見た地球の夜景」も当衛星群により作成された</t>
  </si>
  <si>
    <t>【今日の人工衛星】5/2 1998年：イリジウム69,イリジウム71 衛星携帯電話の1つイリジウムを提供している衛星。合計66個の衛星+予備機によって運営されている</t>
  </si>
  <si>
    <t>【今日の人工衛星】5/4 1989年：マゼラン NASAの金星探査機。スペースシャトル・アトランティス（STS-30）で打ち上げられた。スペースシャトルから打ち上げた初の探査機。1990年～94年にかけて観測を行った。</t>
  </si>
  <si>
    <t>【今日の人工衛星】5/5 2009年：STSS ATRR アメリカの次世代早期警戒衛星の実証衛星。Space Tracking and Surveillance Systemの略、弾道ミサイル発射を早期に検出する</t>
  </si>
  <si>
    <t>【今日の人工衛星】5/6 1965年：リンカーン試験衛星(LES-2)/リンカーン測定体(LCS-1) タイタンIIIAロケットの最後の試作機で打ち上げた物体。アルミ製のボール。</t>
  </si>
  <si>
    <t>【今日の人工衛星】5/7 1992年：STS-49 エンデバーの最初の飛行。静止軌道投入を失敗したインテルサット6号を回収、リブーストモーターにより静止軌道への投入を実施。3人の飛行士の船外活動は世界初だった</t>
  </si>
  <si>
    <t>【今日の人工衛星】5/8 2001年：XM-1 アメリカの衛星デジタルラジオ放送「XMサテライトラジオ」の衛星。車載アンテナを考慮し、静止軌道上から、通常の放送衛星より強く指向性の高い電波を発信。XM-1は現在予備機</t>
  </si>
  <si>
    <t>【今日の人工衛星】5/9 2003年：はやぶさ（MUSES-C） 小惑星探査機、工学実験機。小惑星1998-SF36(打ち上げ後にイトカワと命名)との往復、サンプルリターンに成功。2010年6月13日に地球に帰還。</t>
  </si>
  <si>
    <t>【今日の人工衛星】5/10 1999年：風雲1C号 中国の気象衛星。中国は静止軌道・極軌道を併用し、これは極軌道。2007/1/11に衛星攻撃兵器実験で破壊され、現在は多数のデブリとなって軌道上を漂っている</t>
  </si>
  <si>
    <t>【今日の人工衛星】5/11 2009年：STS-125 スペースシャトルアトランティスによるハッブル宇宙望遠鏡修理の5回目(最後)の飛行。緊急時の救援ができるよう、エンデバーも地上で待機(STS-400)していた</t>
  </si>
  <si>
    <t>【今日の人工衛星】5/12 1993年：ARASENE フランスのアマチュア無線中継衛星。大学生によって製作された。VHFアンテナは打ち上げ直後に故障、SHFアンテナも電源の問題から打ち上げ3ヶ月後に利用不可に…</t>
  </si>
  <si>
    <t>【今日の人工衛星】5/13 1960年：Echo-X(1号) 世界初の受動型通信衛星となることを目指してアメリカが打ち上げた衛星。打ち上げは失敗。気球の形をしており、電波を単純に反射して衛星中継を行う</t>
  </si>
  <si>
    <t>【今日の人工衛星】5/14 1973年：スカイラブ1号 アメリカ初の宇宙ステーション 2009年：ハーシェル宇宙望遠鏡 地球-太陽の第2ラグランジュ点を中心とする直径70万kmのリサジュー軌道を周回する赤外線望遠鏡</t>
  </si>
  <si>
    <t>【今日の人工衛星】5/14 2009年：プランク衛星 地球-太陽の第2ラグランジュ点に投入された、宇宙背景放射を観測する衛星。NASAの衛星と比べ高感度・高分解能で補完する関係。ハーシェル宇宙望遠鏡と同時打ち上げ。</t>
  </si>
  <si>
    <t>【今日の人工衛星】5/15 1963年：マーキュリー・アトラス9号 マーキュリー計画最後、レロイ・ゴードン・クーパーJr.による有人飛行。1日以上の宇宙滞在はアメリカ初。そして、現時点では最後の単独宇宙飛行である。</t>
  </si>
  <si>
    <t>【今日の人工衛星】5/16 2000年：Simsat-1,2 ロシア「ロコット」ロケット(ICBMの再利用)で打ち上げた実験機。イリジウム衛星の原寸大模型。2011年：STS-134 エンデバー号最後の打ち上げ。当初の打上予定は4月30日だった。</t>
  </si>
  <si>
    <t>【今日の人工衛星】5/17 1966年：アジェナ標的機(GATV-5004) ジェミニ9号がドッキング実験を行うときの対象機。ただし軌道投入に失敗し、実験は延期。6/1に打ち上げた新しい標的機ともドッキングは失敗</t>
  </si>
  <si>
    <t>【今日の人工衛星】5/18 1969年：アポロ10号 アポロ計画4番目の打ち上げにして、月軌道上での着陸船の実験を行う最終リハーサル。世界初のカラーテレビ生中継も実施。着陸船は上空15kmまで接近した。</t>
  </si>
  <si>
    <t>【今日の人工衛星】5/19 1971年：マルス2号 旧ソ連の火星探査機。軌道上からの探査と、着陸船を保有。着陸船は初めて火星表面に到達した人工物となったが、着陸時に故障して動作せず。軌道上探査機は3号と合同で探査を続けた</t>
  </si>
  <si>
    <t>★2010年の今日5/21 6:58:22、H-IIAロケット17号機で金星探査機あかつき・ソーラー電力セイル実験機IKAROS、相乗り衛星4基が打ち上げられました。</t>
  </si>
  <si>
    <t>★H-IIAロケット17号機の打上から12分後、ハヤト（鹿児島大学）、WASEDA-SAT2（早稲田大学）、Negai☆″（創価大学）の3基が分離しました。その後、ハヤトとNegai☆″は通信にも成功しました。</t>
  </si>
  <si>
    <t>★H-IIAロケット17号機の打上から27分後、金星探査機あかつきが分離されました。</t>
  </si>
  <si>
    <t>★H-IIAロケット17号機の打上から47分後、しんえん(UNITEC-1)が分離されました。22大学・高専が参加、地球の重力圏を離脱した初めての民間宇宙機となりました。電波は受信できたものの、電波の解読は行えておらず、ミッションとしては、ミニマムサクセスに到達していません。</t>
  </si>
  <si>
    <t>【今日の人工衛星】5/21 1986年：フォトン2号　旧ソ連の軌道上物質化学実験機。これまで後継機含め15機が打ち上げ、14機が成功し軌道上での実験とサンプル回収を実現している</t>
  </si>
  <si>
    <t>【今日の人工衛星】5/22 1996年：STS-77,スパルタン207号 エンデバー号の飛行と、宇宙に輸送された衛星2機。スパルタンは折りたたまれた拡張アンテナの実験に成功し、再び回収されて地球に帰還した</t>
  </si>
  <si>
    <t>【今日の人工衛星】5/23 1995年：GOES-9 アメリカの気象衛星。3軸制御方式では2番目の機体。日本のMTSAT-1打ち上げ失敗、GMS-5の老朽化を受けて2003年5月から2005年7月まで日本の空を観測</t>
  </si>
  <si>
    <t>【今日の人工衛星】5/24 1962年：マーキュリー・アトラス7号 マーキュリー計画4番目の有人飛行。マルコム・スコット・カーペンターが搭乗。大気圏への突入角度のズレ、着水地点の402kmのズレが起こるも無事救出される</t>
  </si>
  <si>
    <t>【今日の人工衛星】5/25 1973年：スカイラブ2号 アメリカの有人宇宙ステーション「スカイラブ」に初めて飛行士を送り込む。スカイラブは打ち上げ時の不具合のためすぐに利用できない状態であり、飛行士が修理を行った</t>
  </si>
  <si>
    <t>【今日の人工衛星】5/26 1999年：Oceansat 1 インドの気象衛星、別名IRS-P4。太陽同期軌道を飛ぶ。PSLVロケット商業打ち上げが初めて成功した衛星でもある(同時にドイツ・韓国の衛星も打ち上げ)</t>
  </si>
  <si>
    <t>【今日の人工衛星】5/27 1999年：STS-96 ディスカバリーによる飛行。スペースシャトルの、国際宇宙ステーションへの初めてのドッキングに当たる飛行(NHK「宇宙からウェイクアップコール」5/10でも紹介)</t>
  </si>
  <si>
    <t>【今日の人工衛星】5/28 1971年：マルス3号 旧ソ連の火星探査機。着陸探査機は2号と異なり無事に軟着陸、火星表面の写真を初めて地球に送信した(ただしすぐに故障し、搭載していたローバーは使用できず)</t>
  </si>
  <si>
    <t>【今日の人工衛星】5/29 1974年：ルナ22号 旧ソ連の月探査機。15号以降は有人月探査に向けた準備だったが結局実現せず。ちなみに、15号はアポロ11号に先んじて月の土壌を持ち帰れる可能性があったが着陸失敗により頓挫</t>
  </si>
  <si>
    <t>【今日の人工衛星】5/30 1966年：サーベイヤー1号 アメリカの月探査機。アメリカの探査機として初めて月面に到達した</t>
  </si>
  <si>
    <t>【今日の人工衛星】5/30 1971年：マリナー9号 アメリカの火星探査機。初めて火星を含む他の惑星の周回軌道に投入された探査機。撮影により観測を行い、火星表面の80%以上をカバーした</t>
  </si>
  <si>
    <t>★2008年の今日6/1 6:02、スペースシャトル・ディスカバリーで、実験棟きぼうの船内実験室・親アームが打ち上げられました。設置は星出彰彦宇宙飛行士が行いました。</t>
  </si>
  <si>
    <t>【今日の人工衛星】5/31 2008年：STS-124 ディスカバリーによるフライト。星出飛行士が搭乗し、実験棟きぼうの設置ミッション(1J、船内実験室のISSへの運搬と設置、船内保管室の本設置)を実施</t>
  </si>
  <si>
    <t>【今日の人工衛星】6/1 1990年：ROSAT アメリカ、ドイツ、イギリスによるX線探査衛星。X線源の全天サーベイを初めて実施、6万個以上のX線源を発見した</t>
  </si>
  <si>
    <t>【今日の人工衛星】6/2 1983年：ベネラ15号 旧ソ連の金星探査機。着陸船部分を高性能のレーダーに交換することで、金星の大気の下の地表を観測。</t>
  </si>
  <si>
    <t>【今日の人工衛星】6/2 2003年：マーズ・エクスプレス 欧州宇宙機関(ESA)の火星探査機、ESA初の惑星探査。本体の火星周回軌道への投入は成功したが、着陸船ビーグル2の着陸は失敗</t>
  </si>
  <si>
    <t>【今日の人工衛星】6/2 2010年：実証衛星2号機(SERVIS-2)　高機能・低コストの民生部品・技術を利用した衛星を製作することで、衛星製作の低コスト化を狙った実証衛星。設計寿命の通り、ほぼ1年間にわたり運用された。</t>
  </si>
  <si>
    <t>【今日の人工衛星】6/3 1965年：ジェミニ4号 ジェミニ計画の有人飛行2回目に相当する。将来の月探査に備え、アメリカ初の宇宙遊泳を実施すると共に、アメリカで初めての複数日の宇宙滞在も実施。</t>
  </si>
  <si>
    <t>【今日の人工衛星】6/4 2010年：ドラゴン宇宙船制限ユニット・ファルコン9初号機　アメリカの民間企業スペースX社により開発されたファルコン9のテスト打ち上げ。同社が開発中のドラゴン宇宙船のテストヘッドを打ち上げた</t>
  </si>
  <si>
    <t>【今日の人工衛星】6/5 1989年：スーパーバードA 日本の宇宙通信(現・スカパーJSAT)が打ち上げた通信衛星シリーズの初号機。同シリーズは、民間だけではなく防衛省も通信に利用している</t>
  </si>
  <si>
    <t>【今日の人工衛星】6/6 2003年：AMC 9 衛星通信企業SES Americomが打ち上げた通信衛星。プロトンKロケットによる打ち上げ。元々GE Americomが打ち上げる予定だったが打ち上げ前に衛星毎買収された</t>
  </si>
  <si>
    <t>【今日の人工衛星】6/7 1983年：ベネラ16号 旧ソ連の金星探査機。ベネラ計画最後の探査機。着陸船の代わりに高解像度のレーダーを搭載し観測を行った</t>
  </si>
  <si>
    <t>【今日の人工衛星】6/8 1965年：ルナ6号 旧ソ連の月探査機。月の軟着陸を目指すが軌道投入に失敗。人類初の軟着陸成功はルナ9号を待たねばならなかった。</t>
  </si>
  <si>
    <t>【今日の人工衛星】6/8 1975年：ベネラ9号 旧ソ連の金星探査機。8号までと異なる新しい設計の探査機で、軌道船が着陸船からの通信を中継するようになったのも9号から。</t>
  </si>
  <si>
    <t>【今日の人工衛星】6/9 1966年：MIDAS10（ミサイル早期警戒衛星）、SECOR6（測位衛星）、ERS16（空軍の実験衛星） アメリカの軍事衛星3機がアトラス　アジェナDロケットで打ち上げられた</t>
  </si>
  <si>
    <t>【今日の人工衛星】6/10 2003年：スピリット アメリカの火星探査機。打ち上げ直前のコロンビア号の事故を受けて死亡した搭乗員7人を記念したプレートが付いている。2004年1月から2010年1月まで探査を続けた</t>
  </si>
  <si>
    <t>【今日の人工衛星】6/11 2008年：フェルミガンマ線宇宙望遠鏡 米・仏・独・伊・日・スウェーデンの共同研究のため打ち上げられた。大面積望遠鏡(LAT)・ガンマ線バーストモニター(GBM)が相補的に観測</t>
  </si>
  <si>
    <t>【今日の人工衛星】6/12 1967年：ベネラ4号 旧ソ連の金星探査機。金星の大気を高度24.69kmまで観測し、別の惑星の観測を現地で行った初めての衛星となった。なお、初の軟着陸は3号だったが、3号は通信は出来ていない</t>
  </si>
  <si>
    <t>【今日の人工衛星】6/12 1975年：ニンバス6号 アメリカの地球観測衛星。米国の地球リモートセンシング開発の中心となったシリーズ。3号は衛星を利用した測位技術を初搭載、7号はオゾン層観測機能を持ち、オゾンホールを観測</t>
  </si>
  <si>
    <t>【今日の人工衛星】6/13 1984年：NAVSTAR-9 GPS衛星のブロックIシリーズ。ブロックIは実験的要素もあった 1968年：IDCSP4-1～4-8 米軍の通信衛星の初代シリーズ。8機を同時に打ち上げる仕組み</t>
  </si>
  <si>
    <t>【今日の人工衛星】6/14 1967年：マリナー5号 アメリカの金星探査機。火星探査機のマリナー4号のバックアップだったが、マリナー4号の成功をうけ金星探査機に転用。6/12打ち上げのベネラ4号と観測を相互補完した</t>
  </si>
  <si>
    <t>【今日の人工衛星】6/15(UTC) 1963年：ボストーク5号 旧ソ連による有人飛行。4日と23時間7分で地球を82周したのは、単独の飛行では現在でも世界最長。翌々日打ち上げのボストーク6号と交信も行った</t>
  </si>
  <si>
    <t>【今日の人工衛星】6/15 2010年：DCAM-2 ソーラー電力セイル実証機IKAROSから分離された、セイルの展張状況を撮影するための分離カメラ。IKAROS全体の撮影に成功。</t>
  </si>
  <si>
    <t>【今日の人工衛星】6/16 1963年：ボストーク6号 旧ソ連による有人飛行、ボストーク計画の最後の飛行。ワレンチナ・テレシコワ飛行士による、世界初の女性のフライト。先に打ち上げられたボストーク5号と交信も行った</t>
  </si>
  <si>
    <t>【今日の人工衛星】6/17 1985年：STS-51G ディスカバリーの飛行、アルサウド飛行士が、初のサウジアラビア人・初のムスリムとして宇宙飛行。NHK「爆問学問×JAXA」にて米・仏の飛行士とのフライトへのコメントが</t>
  </si>
  <si>
    <t>【今日の人工衛星】(続き)紹介された。アルサウド飛行士の言葉「最初の1日か2日はみんなが自分の国を指していた、3日目・4日目は、それぞれ自分の大陸を指さした、5日目、わたしたちの目に映っているのはたった1つの地球だった」</t>
  </si>
  <si>
    <t>【今日の人工衛星】6/18 2009年：ルナー・リコネサンス・オービター アメリカの月探査衛星、有人月探査に向けた調査を主目的とした探査機。LCROSSと衝突体を月に衝突させて月にまとまった量の水が存在することを確認。</t>
  </si>
  <si>
    <t>【今日の人工衛星】6/19 1981年：APPLE アリアン1ロケットで打ち上げられたISRO(インド宇宙研究機関)の通信衛星の実験機。3軸制御の通信衛星の実験であった</t>
  </si>
  <si>
    <t>【今日の人工衛星】6/19 2010年：DCAM-1 ソーラー電力セイル実証機IKAROSから分離された、セイルの展張状況を撮影するための分離カメラ。6/15に分離したDCAM-2より低速で分離し、方向制御用の液晶デバイスの動作を確認。</t>
  </si>
  <si>
    <t>【今日の人工衛星】6/20 2008年：Jason2 フランスの海洋観測衛星。海洋循環とその気候との相互作用の観測および理解の向上が目的。JAXAの宇宙環境計測装置TEDA/LPTも搭載され、宇宙放射線の観測も実施</t>
  </si>
  <si>
    <t>【今日の人工衛星】6/21 1993年：STS-57 初のスペースハブ(商業用宇宙実験室)を搭載。EURECA(欧州宇宙実験プラットホーム)の回収や、ハッブル宇宙望遠鏡の修理に向けた訓練としての船外活動も実施</t>
  </si>
  <si>
    <t>【今日の人工衛星】6/22 1976年：サリュート5号 旧ソ連の軍事用宇宙ステーション「アルマース」を民間目的を装って打ち上げたもの。アルマースとしては、3度目の機体であり、これが最後の機体。2回に分け4人の飛行士が滞在</t>
  </si>
  <si>
    <t>【今日の人工衛星】6/23 1977年：NTS-2 アメリカのGPSに向けた技術試験衛星。セシウムの原子時計、ニッケル水素電池、3軸制御などを試験し、相対論で示された時間の進み方のズレも検証。</t>
  </si>
  <si>
    <t>【今日の人工衛星】6/24 1999年：FUSE 遠紫外線分光探査機。90.5-119.5nmの紫外線を観測。2007年7月12日、リアクションホイールが全て故障し運用終了</t>
  </si>
  <si>
    <t>【今日の人工衛星】6/25 1974年：サリュート3号 旧ソ連の軍事宇宙ステーション「アルマース」の2機目。NR-23機関砲（Tu-22のものを改良）を搭載しており、遠隔操作で発射し衛星を狙撃したとされる</t>
  </si>
  <si>
    <t>【今日の人工衛星】6/26 2003年：Orbview 3 米国Orbital Imaging Corporation社の地球観測衛星。Pegasus XLロケットで打ち上げ。8km×8kmの範囲を撮影する。</t>
  </si>
  <si>
    <t>【今日の人工衛星】6/27 1982年：STS-4 スペースシャトルの4回目のミッション。ここまでがスペースシャトル自体の研究開発の位置づけだった。初めて予定された時間に正確にスペースシャトルが打ち上げられたミッション</t>
  </si>
  <si>
    <t>【今日の人工衛星】6/28 2000年：Tsinghua(精華)1 中国の地球観測・通信研究用小型衛星、将来は7個の衛星で災害をモニタリング + Snap-1 イギリスの学生が打ち上げた小型衛星、初めての3軸制御小型衛星</t>
  </si>
  <si>
    <t>【今日の人工衛星】6/29 1969年：Biosatellite 3 アメリカの実験衛星。アカゲザルのボニー（Bonny）が搭乗。30日間の予定が、体調不良から8日間に短縮。ボニーは地球帰還後8時間で脱水症状で死亡…</t>
  </si>
  <si>
    <t>【今日の人工衛星・番外編】6/30 1971年：ソユーズ11号の死亡事故 帰還モジュールとソユーズ本体を繋ぐバルブの部分に欠陥があり、空気を喪って死亡事故となった。現在唯一の「宇宙空間における」死亡事故となっている</t>
  </si>
  <si>
    <t>【今日の人工衛星】7/1 1966年：エクスプローラー33号 アメリカの磁場・放射線を計測する衛星。月軌道への投入は失敗したが計画した観測は実施。第一研究者はヴァンアレン帯の発見者、 ジェームズ・ヴァン・アレン</t>
  </si>
  <si>
    <t>【今日の人工衛星】7/2 1985年：ジオット ESAのハレー彗星探査機。彗星から600kmまで最接近、彗星の核を撮影。名前は、1301年のハレーの接近を壁画に描いたイタリアの画家ジョット・ディ・ボンドーネに由来</t>
  </si>
  <si>
    <t>【今日の人工衛星】7/3(UTC) 1998年：のぞみ 火星探査機。月の裏側を撮影、旧ソ連・米国に次ぎ3番目となる。度重なる故障、月で2回、地球で3回のスイングバイを経て火星近くに到達するも軌道投入はかなわず</t>
  </si>
  <si>
    <t>★1998年の今日7月4日 3:12に火星探査機「のぞみ」は打ち上げられました。度重なる故障にみまわれ、月で2回、地球で3回のスイングバイを経て火星近くに到達するも軌道投入は成功しませんでした。</t>
  </si>
  <si>
    <t>【今日の人工衛星】7/4 2006年：STS-121 コロンビア号事故後2回目。初回のSTS-114で外部タンク破片問題が再発したため更に1年間対策を行った。スペースシャトルがアメリカ独立記念日に打ち上げられたのは初</t>
  </si>
  <si>
    <t>【今日の人工衛星】7/5 1966年：アポロAS-203 二度目に行われたサターンIBの発射実験。非公式にアポロ2号とも。二段目ロケットS-IVBのタンク内の燃料の無重力状態での振る舞いを確認することが目的で、実験は成功</t>
  </si>
  <si>
    <t>【今日の人工衛星】7/6 2002年：N-STAR C NTTドコモの衛星携帯電話サービス用の衛星。アリアン5により打ち上げ、東経136に位置し、現在も運用中</t>
  </si>
  <si>
    <t>【今日の人工衛星】7/7 1995年：HELIOS 1A フランスの軍事衛星。1m程度の精度の撮影能力を持つと推定。フランス単独では資金が不足するため、イタリア、スペインと資金を分担して打ち上げられたとされる。</t>
  </si>
  <si>
    <t>【今日の人工衛星】7/8(UTC) 1994年：BS-3N BSアナログ放送用予備衛星。アリアン44Lロケットで打ち上げられ、2001年まで運用された。（なぜかwikipediaに記述がほとんどない…）</t>
  </si>
  <si>
    <t>【今日の人工衛星】7/9(UTC) 1996年：Turksat 1C トルコの通信衛星。1Aが打ち上げ失敗したための保険条項により製作されたとのこと</t>
  </si>
  <si>
    <t>【今日の人工衛星】7/11 1990年：Gamma1 旧ソ連のガンマ線・X線観測衛星、フランスとの共同プロジェクト。1965年には望遠鏡の基本設計がされていたが紆余曲折により25年後の打ち上げとなった</t>
  </si>
  <si>
    <t>【今日の人工衛星】7/12 2001年：BSAT-2b 日本の衛星放送用の衛星。BSデジタル用予備機となる予定だったが、静止軌道投入に失敗。衛星自体は正常に稼働していたが、使用できず。</t>
  </si>
  <si>
    <t>【今日の人工衛星】7/13 1995年：ガリレオ（プローブ） アメリカの木星探査機ガリレオの大気観測プローブがこの日ガリレオ本体から切り離された。プローブは12月7日に大気に突入、57分間にわたり木星の大気の観測を実施</t>
  </si>
  <si>
    <t>【今日の人工衛星】7/14 1977年：ひまわり1号 日本初の気象衛星、現在に続く日本の気象観測の先駆け。ケネディ宇宙センターからデルタロケットで打ち上げ。1981年の2号打ち上げ後も予備機として1989年まで運用。</t>
  </si>
  <si>
    <t>★1977年の今日7/14 19:39、日本初の気象衛星、ひまわり1号が打ち上げ。ケネディ宇宙センターからデルタロケットで打ち上げられ、1981年の2号打ち上げ後も予備機として1989年まで運用。</t>
  </si>
  <si>
    <t>【今日の人工衛星】7/15 2009年：STS-127 エンデバー23回目の飛行。STS-123,124に続き日本の実験棟「きぼう」の組み立てを行い、完成させた。若田光一宇宙飛行士の長期滞在の帰還にも用いられた</t>
  </si>
  <si>
    <t>【今日の人工衛星】7/16 1969年：アポロ11号 人類を初めて月面に送り込んだアポロ11号の打ち上げ。月面到着は7/20、地球帰還は7/24。月から持ち帰られた試料は21.55kgであった。</t>
  </si>
  <si>
    <t>★2009年の今日7/16 7:03、スペースシャトル・エンデバーで、実験棟きぼうの船外実験プラットフォーム・船外パレット)が打ち上げられました。設置は若田光一宇宙飛行士が行いました。</t>
  </si>
  <si>
    <t>【今日の人工衛星】7/17 1977年：コスモス929号(TKS-1) 旧ソ連の宇宙ステーションへの輸送機の初回の全体試験。使用予定の軍事宇宙ステーション計画が中止され3回で退役したが技術はISSのソ連モジュールに活用</t>
  </si>
  <si>
    <t>【今日の人工衛星】7/18 1966年：ジェミニ10号 8号・9A号では不完全に終わった軌道上のドッキングに成功。ヤング船長はアポロ10,16号とスペースシャトル(STS-1,6)、コリンズ飛行士はアポロ11号に参加</t>
  </si>
  <si>
    <t>【今日の人工衛星】7/19 1967年：エクスプローラー35号 アメリカの月探査機。失敗した33号の代替。月楕円軌道で観測を行った</t>
  </si>
  <si>
    <t>【今日の人工衛星】7/20 1965年：ヴェラ3A,3B,ERS-17 ヴェラは核実験監視衛星の初代Vela hotel型の最後の2機。ERS-17はX線・ガンマ線・宇宙線を検知する5つのセンサーを積んだ科学衛星</t>
  </si>
  <si>
    <t>【今日の人工衛星】7/21 1961年：マーキュリー・レッドストーン4号 マーキュリー計画2回目の有人飛行。乗員はガス・グリソム。15分間の弾道飛行に成功。この時の様子は映画「ライトスタッフ」にも描かれている</t>
  </si>
  <si>
    <t>【今日の人工衛星】7/22 1962年：マリナー1号 アメリカ初の惑星探査機。ただし、正常系の制御システムの故障と、バックアップ系の飛行ソフトウェアのバグが原因で打ち上げは失敗。なお、予備機の2号は8/27に打ち上げ成功</t>
  </si>
  <si>
    <t>【今日の人工衛星】7/23 1972年：ランドサット1号 地球観測衛星のシリーズ初号機。現在は5号(1984年打ち上げ)と7号(1999年打ち上げ、一部故障)が稼働中。</t>
  </si>
  <si>
    <t>【今日の人工衛星】7/23 1999年：STS-93,チャンドラX線観測衛星 大気で吸収されてしまうX線の観測を目的とした。シャトルから打ち上げられた3機の宇宙望遠鏡の1つでコロンビア号で打ち上げられた。</t>
  </si>
  <si>
    <t>★1992年の今日7/25 7:26、デルタIIロケット6925型ロケットで磁気圏観測衛星GEOTAILが打ち上げられました。</t>
  </si>
  <si>
    <t>【今日の人工衛星】7/25 1973年：マルス5号 旧ソ連の火星探査機。7/21打ち上げの4号は火星周回軌道への投入が失敗したがこちらは成功。後の6,7号着陸船との通信も担うことになっていた</t>
  </si>
  <si>
    <t>【今日の人工衛星】7/26 1971年：アポロ15号 アポロ計画は15号以降は科学調査に重点が置かれ、15号が月面車を初めて利用したミッションとなった。</t>
  </si>
  <si>
    <t>【今日の人工衛星】7/26 2005年：STS-114 コロンビア号事故後初の打ち上げ、"Return to Flight"ミッション。野口聡一飛行士が搭乗。チャレンジャー号事故後初のフライトも同じディスカバリー号だった</t>
  </si>
  <si>
    <t>【今日の人工衛星】7/27 1992年：ソユーズTM-15 旧ソ連が、宇宙ステーション「ミール」との往還に打ち上げたミッション。フランス人も参加。</t>
  </si>
  <si>
    <t>【今日の人工衛星】7/28 1997年：スーパーバードC 旧・宇宙通信(現スカパーJSAT)の保有する通信衛星。現在も名称がA3になったものの稼働している。</t>
  </si>
  <si>
    <t>【今日の人工衛星】7/29 1960年：マーキュリー・アトラス1号 マーキュリー計画の打ち上げのうち、アトラスロケットを使った初回の打ち上げ。発射実験が目的。</t>
  </si>
  <si>
    <t>【今日の人工衛星】7/30 1965年：アポロA-105、ペガサス3号 アポロ計画におけるサターンI型最後の打ち上げ。司令船・機械船の模型と、宇宙塵採集衛星ペガサスの打ち上げが目的。目的は全て達成された。</t>
  </si>
  <si>
    <t>【今日の人工衛星】7/31 2010年：北斗IGSO1 中国の測位システム北斗-2の5機目の衛星。傾斜対地同期軌道(IGSO)という軌道を取る3機の衛星の1号機として打ち上げ。</t>
  </si>
  <si>
    <t xml:space="preserve">【今日の人工衛星】8/1 1967年：ルナ・オービター5号 アメリカの月探査機。1～3号でアポロの着陸候補地を、4～5号で月面全体の写真を撮影。5号は4号が撮影できなかった地点を補完 </t>
  </si>
  <si>
    <t>★1984年の今日8/3 5:30、N-IIロケット6号機で気象衛星ひまわり3号が打ち上げられました。</t>
  </si>
  <si>
    <t xml:space="preserve">【今日の人工衛星】8/2(UTC) 1984年：ひまわり3号 日本の気象衛星。日本時間8/3に種子島からN-IIロケット6号機で打ち上げ。ひまわり2号の不調をカバーするため少し早く打ち上げられた </t>
  </si>
  <si>
    <t xml:space="preserve">【今日の人工衛星】8/4 2007年：フェニックス アメリカの火星探査機。過去中止された探査機の機器を再利用した。火星に過去水が存在したことを直接確認した </t>
  </si>
  <si>
    <t>★1983年の今日8/6 5:29、N-IIロケット4号機で通信衛星さくら2号bが打ち上げられました。</t>
  </si>
  <si>
    <t xml:space="preserve">【今日の人工衛星】8/5(UTC) 1983年：さくら2号b 日本の通信衛星。日本時間8月6日にN-IIロケット4号機で打ち上げ。1990年に運用終了。 </t>
  </si>
  <si>
    <t xml:space="preserve">【今日の人工衛星】8/6 1961年：ボストーク2号 旧ソ連2回目、人類3回目の有人宇宙飛行。ゲルマン・チトフ飛行士の25歳11ヶ月は現在も最年少宇宙飛行記録 </t>
  </si>
  <si>
    <t xml:space="preserve">【今日の人工衛星】8/7 1959年：エクスプローラー6号 アメリカの人工衛星。写真のスキャンデバイスを搭載、初めて地上に写真データを転送した衛星 </t>
  </si>
  <si>
    <t xml:space="preserve">【今日の人工衛星】8/8 2001年：ジェネシス アメリカの探査機。太陽風に含まれる粒子のサンプルリターンが目的。月より遠い場所からの初のサンプルリターン </t>
  </si>
  <si>
    <t xml:space="preserve">【今日の人工衛星】8/9 1976年：ルナ24号 旧ソ連の月探査機。月探査計画"ルナ計画"最後の探査機。170gの土を採取、地球に持ち帰る </t>
  </si>
  <si>
    <t xml:space="preserve">【今日の人工衛星】8/10(UTC) 1981年：ひまわり2号 気象衛星、国内からの打ち上げ(N-IIロケット)は初。機械トラブルを抱え、3号運用直前には1号のリリーフ運用も行われた </t>
  </si>
  <si>
    <t>★1981年の今日8/11 5:03、N-IIロケット1号機で気象衛星ひまわり2号が打ち上げられました。</t>
  </si>
  <si>
    <t xml:space="preserve">【今日の人工衛星】8/11 2006年：JCSAT-3A スカパーJSATの保有する通信衛星、国際通信とスカパー!の放送に利用されている </t>
  </si>
  <si>
    <t>★1986年の今日8/13 5:45、H-Iロケット試験機1号機で、あじさい・じんだい・ふじ1号が打ち上げられました。</t>
  </si>
  <si>
    <t xml:space="preserve">【今日の人工衛星】8/12(UTC) 1986年：あじさい(EGS) H-Iロケット初号機で打ち上げられた測地実験衛星。打ち上げから25年経つ2011年現在も運用中 </t>
  </si>
  <si>
    <t xml:space="preserve">【今日の人工衛星】8/12(UTC) 1986年：じんだい(MABES) 磁気軸受フライホイール実験装置 ふじ1号 日本初のアマチュア衛星。いずれもH-Iロケット初号機で打ち上げ </t>
  </si>
  <si>
    <t xml:space="preserve">【今日の人工衛星】8/13 1992年：Optus(Aussat) B1 オーストラリアの民間の通信衛星 1972年：エクスプローラー46号(MTS-A) アメリカの流星塵研究の衛星 </t>
  </si>
  <si>
    <t xml:space="preserve">【今日の人工衛星】8/14(UTC) 2008年：Superbird C2 スカパーJSATの通信衛星。三菱電機が国際競争入札を勝ち抜いたことで、日本企業の保有する民間商用衛星としては初の国産となった </t>
  </si>
  <si>
    <t xml:space="preserve">【今日の人工衛星】8/15 1990年：プログレスM4 ミールへの物資輸送ミッション 1992年：プログレスM14 ミールにVDU推進ユニット（姿勢制御用ロケット）を輸送 </t>
  </si>
  <si>
    <t xml:space="preserve">【今日の人工衛星】8/16 1971年：EOLE 1 フランス2番目の気象衛星、NASAとの協力によって打ち上げた初の衛星 </t>
  </si>
  <si>
    <t>★1996年の今日8/17 10:53、H-IIロケット4号機で地球観測プラットフォーム衛星みどり(ADEOS)と相乗り衛星ふじ3号が打ち上げられました。</t>
  </si>
  <si>
    <t xml:space="preserve">【今日の人工衛星】8/17 1996年：ふじ3号 アマチュア衛星として"みどり"と同時に打ち上げ、現在も運用中。 </t>
  </si>
  <si>
    <t xml:space="preserve">【今日の人工衛星】8/17 1996年：みどり(ADEOS) 地球観測プラットフォーム衛星。大気・海洋・陸域観測結果の成果は大きかったが、太陽電池パドルのブランケットが破断し10ヶ月で運用停止。 </t>
  </si>
  <si>
    <t xml:space="preserve">【今日の人工衛星】8/18(UTC) 1985年：すいせい ハレー彗星観測を目的とした2機目の宇宙探査機。ハレー彗星からの塵で2回姿勢を乱すも無事に観測を完了 </t>
  </si>
  <si>
    <t>★1985年の今日8/19 8:33、M-3SIIロケット2号機で宇宙探査機すいせいが打ち上げられました。</t>
  </si>
  <si>
    <t>★1972年の今日8/19 11:40、M-4Sロケット4号機で電離層・磁気圏観測衛星でんぱ(REXS)が打ち上げられました。</t>
  </si>
  <si>
    <t xml:space="preserve">【今日の人工衛星】8/19 1972年：でんぱ(REXS) 電離層・磁気圏観測衛星。打上時のランチャーの角度のズレにより予定と大きく異なる軌道に投入。70時間で故障したが、その軌道により高層大気密度のデータ収集が可能に </t>
  </si>
  <si>
    <t xml:space="preserve">【今日の人工衛星】8/20 1975年：バイキング1号 火星探査機。着陸船は翌1976年7月20日に着陸。ほとんどの実験を完了 </t>
  </si>
  <si>
    <t xml:space="preserve">【今日の人工衛星】8/21 1965年：ジェミニ5号 ジェミニ計画5回目の飛行 2009年：JCSAT-RA スカパーJSATの通信衛星、予備衛星として軌道上で待機中(日本時間は8/22打上) </t>
  </si>
  <si>
    <t xml:space="preserve">【今日の人工衛星】8/22 2006年：Koreasat5 韓国の放送衛星(4は縁起の悪い数字ということで欠番)、太平洋上からゼニート3SLロケットで打上 </t>
  </si>
  <si>
    <t>★2005年の今日8/24 6:10、ドニエプルロケットで光衛星間通信実験衛星きらり・小型技術実証衛星れいめいが打ち上げられました。</t>
  </si>
  <si>
    <t xml:space="preserve">【今日の人工衛星】8/24 1966年：ルナ11号 旧ソ連の月探査機。月周回楕円軌道から重力異常・月面の化学組成・月近傍の流星物質・月近傍の微粒子線を調査。 </t>
  </si>
  <si>
    <t>★1991年の今日8/25 17:04、H-Iロケット8号機で放送衛星ゆり3号bが打ち上げられました。</t>
  </si>
  <si>
    <t xml:space="preserve">【今日の人工衛星】8/25 1991年：ゆり3号b 日本の放送衛星。H-Iロケット8号機で打ち上げられ、ゆり3号aの太陽電池不具合による出力不足を補った。現時点で、種子島から打ち上げた最後の放送衛星。1998年運用停止 </t>
  </si>
  <si>
    <t>【今日の人工衛星】8/26 2005年：Monitor-E ロシアの地球観測衛星。打ち上げ直後に故障・通信不能となるも復旧。農業関係、災害関係、汚染状況把握などを目的としている</t>
  </si>
  <si>
    <t>★1991年の今日8/27 18:20、H-Iロケット2号機で技術試験衛星きく5号が打ち上げられました。</t>
  </si>
  <si>
    <t>【今日の人工衛星】8/27 (18:20打上) 1987年：きく5号 H-Iロケット試験機2号機の性能確認と、移動体通信実験のための衛星。静止3軸衛星バスの基盤技術を確立。</t>
  </si>
  <si>
    <t>★1994年の今日8/28 16:50、H-IIロケット試験機2号機で技術試験衛星きく6号が打ち上げられました。</t>
  </si>
  <si>
    <t>【今日の人工衛星】8/28 (16:50打上) 1994年：きく6号 H-IIロケット試験機2号機により打上。アポジエンジンの不具合により静止軌道投入は出来なかったが、多くの実験は実施された。</t>
  </si>
  <si>
    <t>【今日の人工衛星】8/28 (18:05打上) 1990年：ゆり3号a H-Iロケット7号機で打ち上げた放送衛星。翌1991年に太陽電池に不具合が発生、一部の放送は、ゆり2号b/3号bがサポートした</t>
  </si>
  <si>
    <t>★2001年の今日8/29 16:00、H-IIAロケット試作機1号機でレーザ測距装置LREと性能確認用ペイロードVEP-2が打ち上げられました。</t>
  </si>
  <si>
    <t>【今日の人工衛星】8/29 (16:00打上) 2001年：H-IIAロケット試作機1号機 レーザ測距装置（LRE）と性能確認用ペイロード（VEP-2）を静止トランスファ軌道へ投入、試験は無事成功した</t>
  </si>
  <si>
    <t>★1991年の今日8/30 11:00、M-3SIIロケット6号機で太陽観測衛星ようこうが打ち上げられました。</t>
  </si>
  <si>
    <t>【今日の人工衛星】8/31 2009年：Palapa-D インドネシアの通信衛星。長征3号Bロケットで打上。3段目の2回目燃焼に失敗したが、無事静止軌道に投入した（が寿命は15年から10年に縮んだ）</t>
  </si>
  <si>
    <t>【今日の人工衛星】9/1 2000年：Zhangguo Ziyuan 2 中国の地球観測衛星。穀物生産、自然災害観測などを目的としている。長征2号ロケットで打上。</t>
  </si>
  <si>
    <t>【今日の人工衛星】9/2 1971年：ルナ18号 旧ソ連の月探査機。2回目のサンプルリターンを目指すも、月への着陸に失敗。その後ルナ20号・24号がサンプルリターンを成功させた</t>
  </si>
  <si>
    <t>★1982年の今日9/3 14:00、N-Iロケット7号機で技術試験衛星きく4号が打ち上げられました。</t>
  </si>
  <si>
    <t>【今日の人工衛星】9/3 (14:00打上) 1982年：きく4号 N-Iロケット7号機で打上。三軸制御、太陽電池パドルの展開、能動式熱制御などの技術試験・確認が目的で、実験は成功した</t>
  </si>
  <si>
    <t>【今日の人工衛星】9/4(UTC) 2010年：Chinasat 6A 中国の通信放送衛星。長征3号乙ロケットで打上。設計寿命は15年。</t>
  </si>
  <si>
    <t>★1989年の今日9/6 4:11、H-Iロケット5号機で気象衛星ひまわり4号が打ち上げられました。</t>
  </si>
  <si>
    <t>【今日の人工衛星】9/5(UTC) (日本時間6日4:11打上) 1989年：ひまわり4号。 気象観測衛星。大きなトラブルもなく、順調に運用され、2002年2月に運用終了。</t>
  </si>
  <si>
    <t>【今日の人工衛星】9/6 2008年：GeoEye-1 アメリカGeoEye社の地球観測衛星。分解能は40cm。googleも衛星画像を購入してgoogle map等に使用している。</t>
  </si>
  <si>
    <t>【今日の人工衛星】9/7 1995年：STS-69 スペースシャトル・エンデバーの飛行。太陽コロナ観測衛星スパルタンの放出と回収、国際宇宙ステーションを建設するのに必要な組立て技術のテストなどを行った</t>
  </si>
  <si>
    <t>【今日の人工衛星】9/8 2000年：STS-106 スペースシャトル・アトランティスの飛行。国際宇宙ステーション(ISS)建設の6回目の飛行。スラスタ噴射によるISSの軌道修正も実施</t>
  </si>
  <si>
    <t>★1975年の今日9/9 14:30、N-Iロケット1号機で技術試験衛星きく1号が打ち上げられました。</t>
  </si>
  <si>
    <t>【今日の人工衛星】9/9 (14:30打上) 1975年：きく1号 宇宙開発事業団(NASDA)初の人工衛星。N-Iロケット1号機で打上。人工衛星の軌道投入、通信、姿勢制御等の技術習得が目的。実験は無事成功した。</t>
  </si>
  <si>
    <t>★2002年の今日9/10 17:20、H-IIAロケット3号機でデータ中継衛星こだま・次世代型無人宇宙実験システムUSERSが打ち上げられました。</t>
  </si>
  <si>
    <t>★2009年の今日9/11 2:01、H-IIBロケット試験機1号機で宇宙ステーション補給機HTV-1が打ち上げられました。</t>
  </si>
  <si>
    <t>【今日の人工衛星】9/10 (17:20打上) 2002年：USERS 無人の自律帰還型回収システムであり、軌道上で宇宙実験を行った結果を地上に持ち帰れるシステム。超電導材料製造実験を行い、無事サンプル回収に成功</t>
  </si>
  <si>
    <t>【今日の人工衛星】9/10(UTC) (日本時間11日2:01打上) 2009年：HTV-1 宇宙ステーション補給機の1号機。H-IIBロケット初回の打上でもあったが、無事ミッションに成功。この時点では愛称は付いていない</t>
  </si>
  <si>
    <t>【今日の人工衛星】9/12 1959年：ルナ2号 旧ソ連の月探査機。月の表面に到達した初の宇宙船（1号は着陸できなかった)。太陽風の観測、月の磁場（が無いことを）観測を行った</t>
  </si>
  <si>
    <t>【今日の人工衛星】9/13 1961年：マーキュリー・アトラス4号 アメリカの有人宇宙飛行計画マーキュリー計画の試験飛行。宇宙船およびアトラス・ロケットの試験。地球を1周させた。</t>
  </si>
  <si>
    <t>★2007年の今日9/14 10:31、H-IIAロケット13号機で月探査機かぐやが打ち上げられました。</t>
  </si>
  <si>
    <t>★2014年の今日9/14 14:00、イプシロンロケット試験機で惑星分光観測衛星ひさき(SPRINT-A)が打ち上げられました。</t>
  </si>
  <si>
    <t>【今日の人工衛星】9/14 (10:31打上) 2007年：かぐや 日本の月探査機。2つの子衛星をもち、さまざまな観測を行った。NHKのハイビジョンカメラが撮影した映像が話題になり、宇宙への関心が高まった</t>
  </si>
  <si>
    <t>【今日の人工衛星】9/14 (14:00打上) 2013年：ひさき 世界初の太陽系内惑星専用の宇宙望遠鏡。イプシロンロケットで打ち上げる小型科学衛星シリーズSPRINTの1号機にあたる。主に惑星の大気を観測。イプシロンロケットの初打上にもあたる</t>
  </si>
  <si>
    <t>【今日の人工衛星】9/15 1989年：Bion9 旧ソ連の生物実験衛星。1971年の米ソの宇宙開発協力の協定に基づき、ソ連のゼニットを流用し生物実験を行った。9号では欧州も実験に参加</t>
  </si>
  <si>
    <t>★1988年の今日9/16 14:00、M-3Hロケット3号機でプラズマ・磁気圏観測衛星じきけんが打ち上げられました。</t>
  </si>
  <si>
    <t>★1988年の今日9/16 18:59、H-Iロケット4号機で通信衛星さくら3号bが打ち上げられました。</t>
  </si>
  <si>
    <t>【今日の人工衛星】9/16 (14:00打上) 1978年：じきけん プラズマ・磁気圏観測衛星。M-3Hロケット3号機で打上。近地点227km、遠地点30,051kmという長楕円軌道で60mアンテナを用い観測を実施</t>
  </si>
  <si>
    <t>【今日の人工衛星】9/16 (18:59打上) 1988年：さくら3号b H-Iロケット4号機で打ち上げられた通信衛星。実験衛星としては3bが最後で、この後は民間の実用衛星が打ち上げられる(1989年のJCSAT～)</t>
  </si>
  <si>
    <t>【今日の人工衛星】9/17 2009年：Meteor-M（ロシアの気象衛星）Fregat/IRIS（技術試験衛星）Sumbandila（南アフリカの地球観測衛星）などがSoyuz 2-1bでまとめて打上</t>
  </si>
  <si>
    <t>【今日の人工衛星】9/18 1964年：アポロA-102（SA-7） サターンI型ロケットの試験飛行。アポロ司令・機械船（模擬）を搭載して発射</t>
  </si>
  <si>
    <t>【今日の人工衛星】9/19 1988年：オフェク1 イスラエルの偵察衛星の初号機。自力で衛星を打ち上げた世界で8番目の国。通常ロケットは自転を活かすため東に打ち上げるが、イスラエルは西に向けて打ち上げる</t>
  </si>
  <si>
    <t>【今日の人工衛星】9/20 1966年：サーベイヤー2号 アメリカの無人月探査機。中間軌道修正に失敗したため月にはうまく着陸できず（衝突した）</t>
  </si>
  <si>
    <t>【今日の人工衛星】9/21 1981年：Oreol 3 旧ソ連が諸外国と共同で推進したIntercosmos計画の衛星の1つ。12個の実験機器（うち4個が旧ソ連、7個はフランス、1個はソ仏が共同で開発）を搭載した</t>
  </si>
  <si>
    <t>★2006年の今日9/23 6:36、M-Vロケット7号機で太陽観測衛星ひのでが打ち上げられました。</t>
  </si>
  <si>
    <t>【今日の人工衛星】9/22(UTC、日本時間23日6:36打上) 2006年：ひので 太陽観測衛星。M-Vロケット7号機で打上（M-V最後の打上）。他の衛星に比べ非常に高い分解能で太陽を精密に観測できる</t>
  </si>
  <si>
    <t>【今日の人工衛星】9/23 1969年：コスモス300号 旧ソ連の月探査機。月からのサンプルリターンを目指したが4段目の点火に失敗し月に向かえず、ルナと命名されなかった。打上はルナ15号と16号の間。</t>
  </si>
  <si>
    <t>【今日の人工衛星】9/22(UTC、日本時間23日6:36打上) 2006年：HIT-SAT 北海道キューブサット開発チームによる、民生部品を使って作られたアマチュア衛星。M-Vロケット7号機の打上のサブペイロードとして打上。</t>
  </si>
  <si>
    <t>【今日の人工衛星】9/22(UTC、日本時間23日6:36打上) 2006年：SSSAT(ソーラーセイルサテライト) ソーラーセイルに必要な膜面展開実験を行う衛星。M-Vロケット7号機の打上のサブペイロード。信号を正常に受信できず、各種のデータを得ることは出来ず</t>
  </si>
  <si>
    <t>【今日の人工衛星】9/24 1999年：IKONOS 2 SPACEIMAGING社(現GeoEye社)が打ち上げたリモートセンシング衛星。アメリカの規制緩和により偵察衛星の技術を転用した衛星。分解能は1m。</t>
  </si>
  <si>
    <t>【今日の人工衛星】9/25 1992年：マーズ・オブザーバー アメリカの火星探査機。表面や大気を観測予定だったが火星近くで通信が途絶。原因は配管の破裂等が考えられている。</t>
  </si>
  <si>
    <t>【今日の人工衛星】9/26(UTC) 1997年：STS-86 アトランティスのフライト。ロシアの宇宙ステーション「ミール」との7回目のミッション。ミールにとどまっていたアメリカの宇宙飛行士の交代も行われた。</t>
  </si>
  <si>
    <t>【今日の人工衛星】9/27 2007年：ドーン アメリカの小惑星探査機。準惑星ケレスおよび小惑星ベスタを観測予定であり、2011年7月16日にはベスタの周回軌道に投入された。</t>
  </si>
  <si>
    <t>★1971年の今日9/28 13:00、M-4Sロケット3号機で科学衛星しんせいが打ち上げられました。</t>
  </si>
  <si>
    <t>【今日の人工衛星】9/28 1971年：しんせい M-4Sロケット3号機で打ち上げた日本初の科学衛星（おおすみ、たんせいは試験衛星）であり、初めての本格的な人工衛星である</t>
  </si>
  <si>
    <t>【今日の人工衛星】9/29 1988年：STS-26 ディスカバリーによる、チャレンジャー号事故後初の打上げ。"Return to Flight"（無事帰還することがミッション）とされた。データ中継衛星TDRS-3を放出</t>
  </si>
  <si>
    <t>【今日の人工衛星】9/30 2001年：Starshine 3 学生教育用のアメリカのミラーボール衛星。1,500人の学生がミラーを磨いた。PICOSAT 9, PCSAT,Sapphireと同時打上。2003/1/21に大気圏に突入</t>
  </si>
  <si>
    <t>【今日の人工衛星】10/1 2003年：Horizons-1 スカパーJSATとIntelsatが共同所有する通信衛星。北米・ハワイをカバー範囲とし、JCSAT-2Aと連携してアジア・オセアニアと通信可能。設計寿命は15年。</t>
  </si>
  <si>
    <t>【今日の人工衛星】10/2 1966年：ESSA 3 アメリカの気象衛星。太陽同期軌道から観測を行う。ESSA 1の代替機で、雲を撮影するAVCSのみだったESSA 1に比べ可視赤外放射計が追加された</t>
  </si>
  <si>
    <t>【今日の人工衛星】10/3 1962年：マーキュリー・アトラス8号 マーキュリー計画の有人飛行5回目。地球を6周。ウォルター・シラー飛行士はジェミニ6-A号・アポロ7号でも地球を周回、3つの計画全てで地球を周回したのは彼のみである</t>
  </si>
  <si>
    <t>【今日の人工衛星】10/3 1985年：STS-51-J スペースシャトル・アトランティスの最初の飛行。ミッション自体は米軍の軍事ミッションで軍の通信衛星を2機放出</t>
  </si>
  <si>
    <t>【今日の人工衛星】10/4 1957年：スプートニク1号 旧ソ連が世界で始めて打ち上げた人工衛星。バイコヌール宇宙基地よりR-7ロケットで打上。当時のアメリカにスプートニクショックを引き起こした。92日後の翌年1月4日に大気圏再突入</t>
  </si>
  <si>
    <t>【今日の人工衛星】10/5 1984年：STS-41-G チャレンジャーの打上。初めてシャトルに定員の7人が搭乗し、居住性を検証。キャスリン・サリバン宇宙飛行士がアメリカ人の女性としては初めての船外活動(EVA)を実施。</t>
  </si>
  <si>
    <t>【今日の人工衛星】10/6 1990年：ユリシーズ 米・欧共同事業で実施された太陽探査機。太陽の北極・南極を観測。スペースシャトルで打上。地球を出発後まず木星に向かい、スイングバイで太陽の両極を観測する軌道に投入された。</t>
  </si>
  <si>
    <t>【今日の人工衛星】10/6(UTC,日本時間7日4:00) 2000年：N-SAT-110(SUPERBIRD-D,JCSAT-110) 旧宇宙通信、旧JSATが共同で利用した通信衛星。アリアン4ロケットで打上。110度CS放送を実施</t>
  </si>
  <si>
    <t>【今日の人工衛星】10/7 2002年：STS-112 アトランティスの打上。外部燃料タンクに取り付けられたカメラによって、アトランティスの軌道への上昇の様子が始めて撮影されたミッション。国際宇宙ステーションの建築を実施。</t>
  </si>
  <si>
    <t>【今日の人工衛星】10/8 2009年：WorldView-2 米DigitalGlobe社の地球観測衛星。分解能は最高で0.46m、既存のQuickbirdに比べて5倍の撮影能力を持っている。</t>
  </si>
  <si>
    <t>【今日の人工衛星】10/9 2007年：おきな(かぐやからの分離) 月探査機かぐやの子衛星、かぐやが月の影にいるときの通信の中継を通じ月の重力を測定。同じく子衛星のおうなは10/12に分離、VLBIによる月周回運動の詳細観測を実施</t>
  </si>
  <si>
    <t>【今日の人工衛星】10/10 1999年：DirecTV 1-R 衛星放送DirecTV用の衛星、DirecTV 1の代替機。2011年現在も運用中。</t>
  </si>
  <si>
    <t>【今日の人工衛星】10/11 1968年：アポロ7号 アポロ計画初の有人飛行にしてアメリカの宇宙ミッション初の3人による飛行。マーキュリー・ジェミニ・アポロ計画のすべてに搭乗した唯一の宇宙飛行士であるシラーが船長であり、機材の信頼性を検証</t>
  </si>
  <si>
    <t>【今日の人工衛星】10/12 1964年：ボスホート1号 旧ソ連の有人宇宙飛行。始めて複数の人間(3人)が宇宙に送り込まれたミッション。これはアメリカが2人飛行をジェミニ計画で成功させる前の出来事であった(3人飛行は1968/10/11)</t>
  </si>
  <si>
    <t>【今日の人工衛星】10/12 2007年：おうな(かぐやからの分離) 月探査機かぐやの子衛星、VLBIによる月周回運動の詳細観測を実施。同じく子衛星のおきなは10/9に分離、かぐやが月の影にいるときの通信の中継を通じ月の重力を測定。</t>
  </si>
  <si>
    <t>【今日の人工衛星】10/13(UTC,日本時間翌14日5:56) 2006年：LDREX 2 JAXAがアリアンVのサブペイロードとして打ち上げた、ETS-VIII向けの大型展開アンテナ展開実験用モジュール。展開実験は成功した。</t>
  </si>
  <si>
    <t>【今日の人工衛星】10/14 1999年：CBERS-1 中国とブラジルが共同で打ち上げた資源探査・地球観測衛星。長征ロケット4Bで打上。2003年8月に運用停止。</t>
  </si>
  <si>
    <t>【今日の人工衛星】10/15 1997年：カッシーニ 米・欧州の打ち上げた土星探査機。金星・金星・地球・木星の順にスウィングバイし2004年に土星軌道に投入。衛星を多数発見、また、探査機ホイヘンスを衛星タイタンに着陸させた。</t>
  </si>
  <si>
    <t>【今日の人工衛星】10/16 1975年：GOES 1 アメリカの気象衛星GOESシリーズ初代。インド洋上に位置し気象観測を行った。引退は1985年3月。</t>
  </si>
  <si>
    <t>【今日の人工衛星】10/17 2007年：GPS-2R17 GPS衛星。アトラスIIにて打上。新型GPS衛星（2シリーズ）の4号機</t>
  </si>
  <si>
    <t>【今日の人工衛星】10/18 1989年：ガリレオ NASAの木星探査機。チャレンジャー号事故により打上が延期、金星・地球・地球の順にスウィングバイし1995年に木星軌道に投入。SL9彗星の木星衝突などを観測し、2003年観測に終了。</t>
  </si>
  <si>
    <t>【今日の人工衛星】10/19 2006年：MetOp-A 欧州気象機関が製作した、欧州最初の極軌道気象衛星、10種類の機器を搭載して気象観測を行い、気象予報の精度向上に寄与</t>
  </si>
  <si>
    <t>【今日の人工衛星】10/20 1995年：STS-73 スペースシャトル・コロンビア号の飛行。2回目の微少重力実験室(USML-2)を搭載し、微少重力下の化学実験を実施した</t>
  </si>
  <si>
    <t>【今日の人工衛星】10/21 1998年：MaqSat 3,ARD アリアンVロケットの試験機3号機で打ち上げ（1,2号機と異なり、初めて打上に完全に成功）。MaqSat 3はW2静止衛星投入可能性の検証、ARDは大気圏再突入の実験が目的</t>
  </si>
  <si>
    <t>【今日の人工衛星】10/22 2008年：チャンドラヤーン1号 インド初の月探査機。名前は直訳すると「月の乗り物」という意味。将来の軟着陸に備えたプローブ投下も実施。約1年で通信が途絶しミッション終了</t>
  </si>
  <si>
    <t>【今日の人工衛星】10/23 2007年：STS-120 ディスカバリーによる飛行、国際宇宙ステーション建設(10A)に従事。映画「スター・ウォーズ」公開30周年記念行事として、エピソード6で実際に使われたルークのライトセーバーが運ばれた</t>
  </si>
  <si>
    <t>【今日の人工衛星】10/24 2007年：嫦娥1号 中国初の月探査機。名前は中国の神話上の人物に由来。月面の撮影などの観測を行い、2009年3月に月面に衝突しミッション終了。</t>
  </si>
  <si>
    <t>【今日の人工衛星】10/25 1965年：ジェミニ6号(標的機) 軌道上の宇宙船のランデブー・ドッキング実験を目的とした標的機だったが打上に失敗。実験は7号(12/4打上)とのランデブーにより実現した</t>
  </si>
  <si>
    <t>【今日の人工衛星】10/26 2006年：STEREO アメリカの太陽観測衛星。2機の衛星を打ち上げて太陽の活動（太陽フレア、太陽風、コロナ質量放出（CMEs））を立体的に捉えることを目的とした</t>
  </si>
  <si>
    <t>【今日の人工衛星】10/27 2005年：XI-V 東京大学中須賀研究室の製作した衛星。XI-IVのバックアップ機で当初は打上予定がなかったものの、太陽電池の実証ミッションが提案されたことで打ち上げられることになった</t>
  </si>
  <si>
    <t>【今日の人工衛星】10/29 1998年：STS-95 ディスカバリーによる25回目の飛行。アメリカ人初の地球周回飛行をしたョン・ハーシェル・グレン飛行士が77歳という宇宙飛行の最高齢記録を樹立。向井千秋飛行士の2回目の飛行でもある</t>
  </si>
  <si>
    <t>【今日の人工衛星】10/30 2003年：SERVIS-1 日本の実証衛星。民生部品を人工衛星に活用可能かの実験を行った。全てのモジュールは予定通り動作した。</t>
  </si>
  <si>
    <t>【今日の人工衛星】10/31 1973年：ビオン1号 旧ソ連の衛星。ネズミ、カメ、キノコベッド、カブトムシ、細菌胞子を搭載し、無重力状態が与える影響を観測する生物実験を行った。</t>
  </si>
  <si>
    <t>【今日の人工衛星】11/1 1962年：マルス1号 旧ソ連の火星探査機。設計はベネラ金星探査機を流用。1963年3月21日に通信が途絶し、火星探査は断念された。通信途絶の原因は姿勢制御の異常と考えられている。</t>
  </si>
  <si>
    <t>【今日の人工衛星】11/2 1965年：プロトン2号 旧ソ連の人工衛星。地球低軌道上で高エネルギーの宇宙線を観測。重量は12tもあった。打上ロケットは現在のプロトンロケットの初期モデルである</t>
  </si>
  <si>
    <t>【今日の人工衛星】11/3 1973年：マリナー10号 アメリカの水星・金星探査機。マリナー計画の最後の探査機であり、人類初の水星探査、スイングバイの活用を行った探査機。</t>
  </si>
  <si>
    <t>【今日の人工衛星】11/4 1981年：ベネラ14号 旧ソ連の金星探査機。着陸ミッションとしては最後のベネラ。13号とほぼ同時期に打ち上げられた。金星に着陸後岩石の成分や地震計による振動の計測などに成功。</t>
  </si>
  <si>
    <t>【今日の人工衛星】11/5 1964年：マリナー3号 アメリカの火星探査機。ロケット先端のシュラウドが外れず、太陽電池パネルを開くことが出来ず、電池切れと共に機能停止。火星軌道への投入は失敗。</t>
  </si>
  <si>
    <t>【今日の人工衛星】11/6 1966年：ルナ・オービター2号 アメリカの月探査機。アポロ計画の着陸地点調査を目的とした。1号～3号は、地球からの観測で選ばれた20ヶ所の着陸候補地を低傾斜角軌道で撮影、4,5号が月全体の地図を作成</t>
  </si>
  <si>
    <t>【今日の人工衛星】11/7 1996年：マーズ・グローバル・サーベイヤー アメリカの火星探査機。極軌道上からの写真撮影や高度測定により火星の詳細な地図を作成。成果は後の探査計画にも活用された</t>
  </si>
  <si>
    <t>【今日の人工衛星】11/8 1968年：パイオニア9号 アメリカの太陽探査機。地球より内側の軌道を公転しながら、太陽風などを観測。</t>
  </si>
  <si>
    <t>【今日の人工衛星】11/10 1970年：ルナ17号 旧ソ連の月探査機。世界で初めて月面車(ルノホート1号)を搭載。11ヶ月にわたり10km以上の距離を走行し調査を行った</t>
  </si>
  <si>
    <t>【今日の人工衛星】11/11 1966年：ジェミニ12号 アメリカ・ジェミニ計画の最後の打上。それまで完全に成功とは言えなかった船外活動（宇宙遊泳）の実験に成功し、アポロ計画に必要な技術を習得した。</t>
  </si>
  <si>
    <t>【今日の人工衛星】11/12 2005年：MINERVA 小惑星探査機はやぶさに搭載された小惑星探査機。2005年にはやぶさから分離されるも着陸は出来ず。18時間にわたりデータを送信し、はやぶさの写真等を地球に送った</t>
  </si>
  <si>
    <t>【今日の人工衛星】11/12 1981年：STS-2 スペースシャトル2回目の飛行。有人の宇宙船として初めて再び宇宙に到達。ジョー・エングル船長・リチャード・トゥルーリー操縦士ともに初の宇宙飛行で、最後の全員新人によるミッションとなった</t>
  </si>
  <si>
    <t>【今日の人工衛星】11/13 1996年：Arabsat 2B アラブ衛星通信機構による通信衛星。アリアン4ロケットで打上、現在も稼働中。中東・サハラ以北のアフリカ・地中海沿岸をカバー。</t>
  </si>
  <si>
    <t>【今日の人工衛星】11/14 1969年：アポロ12号 アメリカの有人月探査ミッションの2回目。予備乗員達が、飛行士のチェックリストの中にPLAYBOYのグラビアをこっそり忍ばせたため、初めて月にグラビアが持ち込まれた事になった</t>
  </si>
  <si>
    <t>★1999年の今日11/15 16:29、H-IIロケット8号機によって行われた運輸多目的衛星1号(みらい)の打ち上げは、LE-7エンジンの異常停止により失敗。異常を起こしたLE-7エンジンは3000mの海底から回収・分析され、現行のLE-7Aエンジンに活かされた</t>
  </si>
  <si>
    <t>【今日の人工衛星】11/15 1999年：みらい/H-IIロケット8号機 ひまわり5号の代替となる衛星となる予定だったが打上が失敗。LE-7エンジンは3000mの海底から回収・分析され、その経験は現行のLE-7Aエンジンに活かされている</t>
  </si>
  <si>
    <t>【今日の人工衛星：番外編】11/15 1967年：X-15の191回目の飛行において事故が発生、アダムス飛行士は死亡。アメリカの宇宙空間の定義(高度50マイル)上の「宇宙飛行事故」。ただし、国際的には高度100km以上が宇宙空間。</t>
  </si>
  <si>
    <t>【今日の人工衛星】11/16 1973年：スカイラブ4号 アメリカ初の宇宙ステーション「スカイラブ」へ乗員を送り込んだ最後のミッション。乗員は84日間滞在し、翌1974年2月8日に帰還した。</t>
  </si>
  <si>
    <t>【今日の人工衛星】11/17 2007年：Sirius 4 (Astra 4A) SES Sirius AB社の所有するスウェーデンの通信衛星。欧州・アフリカ大陸を幅広くカバーする。</t>
  </si>
  <si>
    <t>【今日の人工衛星】11/18 1989年：COBE 宇宙背景放射探査機。ビッグバンの名残である宇宙背景放射を全天で4年間にわたり精密に観測。背景放射の揺らぎを発見した。</t>
  </si>
  <si>
    <t>【今日の人工衛星】11/19(UTC,日本時間20日4:46) 1997年：STS-87 コロンビア号の打上。搭乗した土井隆雄宇宙飛行士が、日本人初となる船外活動を実施。太陽観測衛星の回収などのミッションに成功。</t>
  </si>
  <si>
    <t>【今日の人工衛星】11/20 1998年：ISS(ザーリャ) 国際宇宙ステーション。この日に最初のモジュール「ザーリャ」が打ち上げられた。アメリカの資金でロシアが製造。設計寿命は15年だが2020年までは使用可能とされている</t>
  </si>
  <si>
    <t>【今日の人工衛星】11/21 2000年：Munin スウェーデンのオーロラ観測衛星。重さ6kgの立方体の形をした衛星で、学生が製作した。NASAの地球観測衛星EO-1と相乗り打上。</t>
  </si>
  <si>
    <t>【今日の人工衛星】11/22 1998年：BONUM-1 ロシアの放送衛星。米・ヒューズ社(現・ボーイング)が初めてロシア向けに製造した衛星。打上もアメリカのデルタロケットで行われた。</t>
  </si>
  <si>
    <t>【今日の人工衛星】11/23 1989年：STS-33 ディスカバリー号の9回目のフライト。5日間の飛行で、主目的は軍事衛星の打ち上げだった。</t>
  </si>
  <si>
    <t>【今日の人工衛星】11/24 2002年：STS-113 エンデバー号の19回目、国際宇宙ステーションの建築16回目のフライト。P1トラスを輸送し設置。コロンビア号事故の前の最後の打ち上げだった。</t>
  </si>
  <si>
    <t>【今日の人工衛星】11/25 1975年：Bion 3 旧ソ連が打ち上げた科学衛星。生物実験を行った。旧ソ連とアメリカの協定に基づき、初めてアメリカの実験モジュールが搭載された回でもある。</t>
  </si>
  <si>
    <t>【今日の人工衛星】11/26 1989年：Kvant 2 旧ソ連が打ち上げたミール宇宙ステーションのモジュール。3個目のモジュールに当たり、姿勢制御・生命維持機能を強化、船外活動用のエアロックを追加した。</t>
  </si>
  <si>
    <t>★1997年の今日11/28 6:27、H-IIロケット6号機できく7号(おりひめ・ひこぼし)と熱帯降雨観測衛星TRMMが打ち上げられました。</t>
  </si>
  <si>
    <t>【今日の人工衛星】11/27(UTC,日本時間28日6:27) 1997年：きく7号(おりひめ・ひこぼし) 軌道上での人工衛星の自動ランデブー・ドッキング技術を習得した衛星。この技術は後にHTV(こうのとり)にも活用、高い評価を得た。</t>
  </si>
  <si>
    <t>★2009年の今日11/28 10:21、H-IIAロケット16号機で情報収集衛星光学3号機(IGS-5A)が打ち上げられました。</t>
  </si>
  <si>
    <t>★2003年の今日11/29 13:33、H-IIAロケット6号機によって行われた情報収集衛星光学・レーダー2号機(IGS-2A/B)の打ち上げは、SRB-Aの分離失敗により失敗。これ以降実証衛星以外の2機同時打上は行われなくなった。</t>
  </si>
  <si>
    <t>【今日の人工衛星】11/29 2003年：情報収集衛星光学・レーダー2号機(IGS-2A/B) H-IIAロケット6号機で打上たが、SRB-Aの分離失敗によりロケットが指令破壊され喪失。これ以降実証衛星以外の2機同時打上は行われなくなった</t>
  </si>
  <si>
    <t>【今日の人工衛星】11/30 1962年：ゾンド2号 旧ソ連の火星探査機。マルス1号と同型の設計だが降下機を搭載していた。太陽電池パネルの故障は対応できたが通信システムの故障により火星の観測は行えず</t>
  </si>
  <si>
    <t>【今日の人工衛星】12/1 1992年：Superbird A-1 日本の宇宙通信(現・スカパーJSAT)が打ち上げた通信衛星。アリアン4ロケットで打上。現在は運用終了している。</t>
  </si>
  <si>
    <t>【今日の人工衛星】12/2 1990年：ソユーズTM-11 TBS所属の秋山豊寛飛行士が日本人として初めて宇宙を訪れた。ちなみに秋山飛行士が帰還したのは先にミールにドッキングしていたソユーズTM-10である</t>
  </si>
  <si>
    <t>【今日の人工衛星】12/4 1996年：マーズ・パスファインダー アメリカの火星探査機。着陸の衝撃をエアバックで緩和するという独特の着陸方式を用いた。</t>
  </si>
  <si>
    <t>【今日の人工衛星】12/5 2001年：STS-108 スペースシャトル・エンデバーの飛行。アメリカ同時多発テロ後最初の打上であり、同時多発テロの犠牲者を悼んで多数の小さなアメリカ国旗が掲げられ、遺族に贈られた</t>
  </si>
  <si>
    <t>【今日の人工衛星】12/6 1958年：パイオニア3号 アメリカの月探査機。打上時のエンジンの噴射が3.7秒短かったため適切な軌道に投入できなかったが、ヴァンアレン帯の観測データを地球に送ってきた</t>
  </si>
  <si>
    <t>【今日の人工衛星】12/8 2006年：WildBlue 1 アメリカの通信衛星。アリアン5 ECAロケットで打上。アメリカ各地に高速インターネット接続を提供。</t>
  </si>
  <si>
    <t>【今日の人工衛星】12/9 2007年：COSMO-SkyMed2 イタリアの軍民が共用する地球観測衛星。資金は国防省が提供。アメリカのデルタ2ロケットで打上げられ、太陽同期準極軌道に投入された</t>
  </si>
  <si>
    <t>【今日の人工衛星】12/10(UTC) 2006年：STS-116 スペースシャトル・ディスカバリーのフライト。39B発射台からのスペースシャトルの最後の打上(その後アレスロケット用に改修された)</t>
  </si>
  <si>
    <t>【今日の人工衛星】12/11 1998年：マーズ・クライメイト・オービター アメリカの火星探査機。計算ミス(メートル法で計算すべきところをポンドで計算した)により予定より低い高度の軌道に投入されたため、大気の圧力・摩擦で破壊された。</t>
  </si>
  <si>
    <t>【今日の人工衛星】12/12 1970年：ウフル(Uhuru) アメリカが打ち上げた世界初のX線天文衛星。ケニア沖から打ち上げられ、ケニアの独立記念日だったことによりスワヒリ語の「自由」という意味のUhuruという名前になった</t>
  </si>
  <si>
    <t>【今日の人工衛星】12/14 2002年：みどりII 地球観測衛星。太陽電池パネル故障で通信途絶した「みどり」の後継機で、次世代のみどりとして「II」を名乗ったが、約1年で電源の不調により通信途絶。</t>
  </si>
  <si>
    <t>★2002年の今日12/14 10:31、H-IIAロケット4号機で地球観測衛星みどりII、小型実証衛星マイクロラブサット、鯨生態観測衛星観太くんが打ち上げられました。</t>
  </si>
  <si>
    <t>【今日の人工衛星】12/14 2002年：マイクロラブサット みどりII と同時に打ち上げられた技術実証目的の小型衛星。若手衛星開発技術者の育成、小型衛星バス技術の確立と先端技術の実証が目的。</t>
  </si>
  <si>
    <t>【今日の人工衛星】12/14 2002年：観太くん 日本初の大学衛星。鯨生態観測衛星。鯨に取り付けた発信器の信号を受信する予定だったが鯨に発信器がつけられず、結果的にはツキノワグマ・モンゴルの馬などの生態を観測した。</t>
  </si>
  <si>
    <t>【今日の人工衛星】12/15 1977年：さくら 日本の通信衛星、アメリカで打上。通信衛星技術の獲得に貢献し、8年間運用された。</t>
  </si>
  <si>
    <t>【今日の人工衛星】12/15 1984年：ヴェガ1号 ハレー彗星観測と金星探査を目的とした旧ソ連の探査機。同年12/21打上のヴェガ2号と2機で観測を実施。他の米・欧・日の4機の探査機と共にハレー彗星を観測、ハレー艦隊の一員と呼ばれる</t>
  </si>
  <si>
    <t>【今日の人工衛星】12/16 1965年：パイオニア6号 アメリカの太陽観測衛星。パイオニア8号と同様に現在でも正常に動作しており、観測データとしては活用されないものの、時折交信が行われている</t>
  </si>
  <si>
    <t>【今日の人工衛星】12/17 2004年：AMC 16 米・SES AMERICOM社の通信衛星。デルタV型ロケットの4回目の打上で静止軌道に投入。</t>
  </si>
  <si>
    <t>★2006年の今日12/18 15:32、H-IIAロケット11号機で技術試験衛星きく8号が打ち上げられました。</t>
  </si>
  <si>
    <t>【今日の人工衛星】12/18 2006年：きく8号 移動体通信の実験のための通信衛星。テニスコート相当のサイズのアンテナを2枚もち、小型の携帯電話でも衛星通信を実現。東日本大震災でも被災地の一部の自治体への通信支援を実施した</t>
  </si>
  <si>
    <t>【今日の人工衛星】12/19 1960年：マーキュリー・レッドストーン1A マーキュリー計画で初めてレッドストーンロケットを使用した発射実験。15分間の飛行。最終的な有人飛行もレッドストーンロケットで実施された</t>
  </si>
  <si>
    <t>【今日の人工衛星】12/20 2000年：LDREX きく8号に搭載されたアンテナの展開実験を行った実験モデル。展開が途中で一時停止したため、展開をカメラ映像で確認できなかった。実験は2006年に再度行われ、成功が確認された</t>
  </si>
  <si>
    <t>【今日の人工衛星】12/21 1984年：ヴェガ2号 ハレー彗星観測と金星探査を目的とした旧ソ連の探査機。同年12/15打上のヴェガ1号と2機で観測を実施。金星に降下ユニットを送り込んで観測後、ハレー彗星を観測。</t>
  </si>
  <si>
    <t>【今日の人工衛星】12/22 2007年：Horizons 2 日本のスカパーJSATとインテルサットが共同で打ち上げた通信衛星。北米・カリブ海向けの通信サービスを提供。</t>
  </si>
  <si>
    <t>【今日の人工衛星】12/23 2008年：Fengyun 2E　中国の静止衛星軌道に投入された気象衛星。東経123度の位置で現在運用中であり、現時点で最新。人工衛星破壊実験の対象にされたFengyun 1Cは極軌道の衛星。</t>
  </si>
  <si>
    <t>【今日の人工衛星】12/24 2006年：Meridian ロシアの通信衛星。ソユーズロケットで打ち上げられた。航空機・船舶との通信や、シベリアなどロシア極東の通信を担う。</t>
  </si>
  <si>
    <t>【今日の人工衛星】12/25 2004年：ホイヘンス・プローブ　欧州宇宙機関の惑星探査機。土星探査機カッシーニからこの日分離され、衛星タイタンへ着陸した。大気の観測・地表の写真だけではなく、風の音も観測した。</t>
  </si>
  <si>
    <t>【今日の人工衛星】12/26 1974年：サリュート4　旧ソ連の宇宙ステーション。サリュート計画で2機目にあたる。約2年間の運用のうち、人間が搭乗したのは3ヶ月程度だった。1977年2月2日に大気圏に突入し消滅。</t>
  </si>
  <si>
    <t>【今日の人工衛星】12/27 1990年：Raduga 1-2　旧ソ連の通信衛星。プロトンロケットで打上。電話・電信や、中央のテレビ放送を配信するための通信を行った。</t>
  </si>
  <si>
    <t>【今日の人工衛星】12/28 1995年：Echo Star 1　静止軌道上にあるアメリカの通信衛星。長征2Eロケットで打上。主に衛星放送を担い、アメリカ大陸で50cm程度のパラボラアンテナで受信可能。</t>
  </si>
  <si>
    <t>【今日の人工衛星】12/29 2005年：AMS 23　静止軌道上にあるアメリカの通信衛星。打ち上げ前はWorldsat3という名所だった。プロトンMロケットで打上。こちらは音声・映像・インターネット通信をアジア太平洋地域に提供。</t>
  </si>
  <si>
    <t>【今日の人工衛星】12/30 1995年：X-Ray Timing Explorer　NASAの科学衛星。白色矮星・中性子星・ブラックホールなどの観測を目的に打ち上げられた。</t>
  </si>
  <si>
    <t>01/01 07:00:00</t>
  </si>
  <si>
    <t>01/02 07:00:00</t>
  </si>
  <si>
    <t>01/03 07:00:00</t>
  </si>
  <si>
    <t>01/04 07:00:00</t>
  </si>
  <si>
    <t>01/05 07:00:00</t>
  </si>
  <si>
    <t>01/06 07:00:00</t>
  </si>
  <si>
    <t>01/07 07:00:00</t>
  </si>
  <si>
    <t>01/08 04:26:00</t>
  </si>
  <si>
    <t>01/08 07:00:00</t>
  </si>
  <si>
    <t>01/09 07:00:00</t>
  </si>
  <si>
    <t>01/10 07:00:00</t>
  </si>
  <si>
    <t>01/11 07:00:00</t>
  </si>
  <si>
    <t>01/12 07:00:00</t>
  </si>
  <si>
    <t>01/13 07:00:00</t>
  </si>
  <si>
    <t>01/14 07:00:00</t>
  </si>
  <si>
    <t>01/15 07:00:00</t>
  </si>
  <si>
    <t>01/15 07:01:00</t>
  </si>
  <si>
    <t>01/15 22:45:00</t>
  </si>
  <si>
    <t>01/16 07:00:00</t>
  </si>
  <si>
    <t>01/17 07:00:00</t>
  </si>
  <si>
    <t>01/18 07:00:00</t>
  </si>
  <si>
    <t>01/19 07:00:00</t>
  </si>
  <si>
    <t>01/20 07:00:00</t>
  </si>
  <si>
    <t>01/21 07:00:00</t>
  </si>
  <si>
    <t>01/22 07:00:00</t>
  </si>
  <si>
    <t>01/22 14:37:57</t>
  </si>
  <si>
    <t>01/23 07:00:00</t>
  </si>
  <si>
    <t>01/23 07:01:00</t>
  </si>
  <si>
    <t>01/23 12:54:00</t>
  </si>
  <si>
    <t>01/23 13:18:00</t>
  </si>
  <si>
    <t>01/23 13:22:00</t>
  </si>
  <si>
    <t>01/23 13:26:00</t>
  </si>
  <si>
    <t>01/23 13:30:00</t>
  </si>
  <si>
    <t>01/23 13:34:00</t>
  </si>
  <si>
    <t>01/23 13:39:00</t>
  </si>
  <si>
    <t>01/23 13:43:00</t>
  </si>
  <si>
    <t>01/24 07:00:00</t>
  </si>
  <si>
    <t>01/24 07:01:00</t>
  </si>
  <si>
    <t>01/24 10:33:00</t>
  </si>
  <si>
    <t>01/24 20:46:00</t>
  </si>
  <si>
    <t>01/25 07:00:00</t>
  </si>
  <si>
    <t>01/26 07:00:00</t>
  </si>
  <si>
    <t>01/27 07:00:00</t>
  </si>
  <si>
    <t>01/27 07:01:00</t>
  </si>
  <si>
    <t>01/28 07:00:00</t>
  </si>
  <si>
    <t>01/29 07:00:00</t>
  </si>
  <si>
    <t>01/30 07:00:00</t>
  </si>
  <si>
    <t>01/31 07:00:00</t>
  </si>
  <si>
    <t>02/01 07:00:00</t>
  </si>
  <si>
    <t>02/02 07:00:00</t>
  </si>
  <si>
    <t>02/02 07:01:00</t>
  </si>
  <si>
    <t>02/03 07:00:00</t>
  </si>
  <si>
    <t>02/03 07:01:00</t>
  </si>
  <si>
    <t>02/04 07:00:00</t>
  </si>
  <si>
    <t>02/04 07:20:00</t>
  </si>
  <si>
    <t>02/04 11:45:00</t>
  </si>
  <si>
    <t>02/04 16:00:00</t>
  </si>
  <si>
    <t>02/05 07:00:00</t>
  </si>
  <si>
    <t>02/05 15:30:00</t>
  </si>
  <si>
    <t>02/06 07:00:00</t>
  </si>
  <si>
    <t>02/06 17:46:00</t>
  </si>
  <si>
    <t>02/07 07:00:00</t>
  </si>
  <si>
    <t>02/07 07:01:00</t>
  </si>
  <si>
    <t>02/07 10:33:00</t>
  </si>
  <si>
    <t>02/08 07:00:00</t>
  </si>
  <si>
    <t>02/09 07:00:00</t>
  </si>
  <si>
    <t>02/10 07:00:00</t>
  </si>
  <si>
    <t>02/10 07:01:00</t>
  </si>
  <si>
    <t>02/10 10:30:00</t>
  </si>
  <si>
    <t>02/11 07:00:00</t>
  </si>
  <si>
    <t>02/11 07:01:00</t>
  </si>
  <si>
    <t>02/11 10:50:00</t>
  </si>
  <si>
    <t>02/11 13:25:00</t>
  </si>
  <si>
    <t>02/11 17:30:00</t>
  </si>
  <si>
    <t>02/12 07:00:00</t>
  </si>
  <si>
    <t>02/12 07:01:00</t>
  </si>
  <si>
    <t>02/12 13:50:00</t>
  </si>
  <si>
    <t>02/13 07:00:00</t>
  </si>
  <si>
    <t>02/14 07:00:00</t>
  </si>
  <si>
    <t>02/15 07:00:00</t>
  </si>
  <si>
    <t>02/16 07:00:00</t>
  </si>
  <si>
    <t>02/16 07:01:00</t>
  </si>
  <si>
    <t>02/16 07:02:00</t>
  </si>
  <si>
    <t>02/16 13:00:00</t>
  </si>
  <si>
    <t>02/16 14:00:00</t>
  </si>
  <si>
    <t>02/17 07:00:00</t>
  </si>
  <si>
    <t>02/17 07:01:00</t>
  </si>
  <si>
    <t>02/17 09:40:00</t>
  </si>
  <si>
    <t>02/18 07:00:00</t>
  </si>
  <si>
    <t>02/18 07:01:00</t>
  </si>
  <si>
    <t>02/18 15:27:00</t>
  </si>
  <si>
    <t>02/19 07:00:00</t>
  </si>
  <si>
    <t>02/19 07:01:00</t>
  </si>
  <si>
    <t>02/19 14:15:00</t>
  </si>
  <si>
    <t>02/20 07:00:00</t>
  </si>
  <si>
    <t>02/20 07:01:00</t>
  </si>
  <si>
    <t>02/20 07:02:00</t>
  </si>
  <si>
    <t>02/20 11:00:00</t>
  </si>
  <si>
    <t>02/20 14:10:00</t>
  </si>
  <si>
    <t>02/21 06:28:00</t>
  </si>
  <si>
    <t>02/21 06:29:00</t>
  </si>
  <si>
    <t>02/21 06:30:00</t>
  </si>
  <si>
    <t>02/21 07:00:00</t>
  </si>
  <si>
    <t>02/21 07:01:00</t>
  </si>
  <si>
    <t>02/21 07:03:00</t>
  </si>
  <si>
    <t>02/21 09:30:00</t>
  </si>
  <si>
    <t>02/21 14:00:00</t>
  </si>
  <si>
    <t>02/21 16:55:00</t>
  </si>
  <si>
    <t>02/22 07:00:00</t>
  </si>
  <si>
    <t>02/22 08:30:00</t>
  </si>
  <si>
    <t>02/22 17:35:00</t>
  </si>
  <si>
    <t>02/23 07:00:00</t>
  </si>
  <si>
    <t>02/23 17:50:00</t>
  </si>
  <si>
    <t>02/23 17:55:00</t>
  </si>
  <si>
    <t>02/24 07:00:00</t>
  </si>
  <si>
    <t>02/24 07:01:00</t>
  </si>
  <si>
    <t>02/24 13:41:00</t>
  </si>
  <si>
    <t>02/25 07:00:00</t>
  </si>
  <si>
    <t>02/26 07:00:00</t>
  </si>
  <si>
    <t>02/26 07:01:00</t>
  </si>
  <si>
    <t>02/26 18:25:00</t>
  </si>
  <si>
    <t>02/27 07:00:00</t>
  </si>
  <si>
    <t>02/28 07:00:00</t>
  </si>
  <si>
    <t>02/28 03:37:00</t>
  </si>
  <si>
    <t>03/01 07:00:00</t>
  </si>
  <si>
    <t>03/02 07:00:00</t>
  </si>
  <si>
    <t>03/03 07:00:00</t>
  </si>
  <si>
    <t>03/04 07:00:00</t>
  </si>
  <si>
    <t>03/05 07:00:00</t>
  </si>
  <si>
    <t>03/07 07:00:00</t>
  </si>
  <si>
    <t>03/08 07:00:00</t>
  </si>
  <si>
    <t>03/09 07:00:00</t>
  </si>
  <si>
    <t>03/09 07:01:00</t>
  </si>
  <si>
    <t>03/10 07:00:00</t>
  </si>
  <si>
    <t>03/11 07:00:00</t>
  </si>
  <si>
    <t>03/11 15:28:00</t>
  </si>
  <si>
    <t>03/12 07:00:00</t>
  </si>
  <si>
    <t>03/13 07:00:00</t>
  </si>
  <si>
    <t>03/14 07:00:00</t>
  </si>
  <si>
    <t>03/15 07:00:00</t>
  </si>
  <si>
    <t>03/16 07:00:00</t>
  </si>
  <si>
    <t>03/17 07:00:00</t>
  </si>
  <si>
    <t>03/18 07:00:00</t>
  </si>
  <si>
    <t>03/18 17:01:00</t>
  </si>
  <si>
    <t>03/19 07:00:00</t>
  </si>
  <si>
    <t>03/20 07:00:00</t>
  </si>
  <si>
    <t>03/21 07:00:00</t>
  </si>
  <si>
    <t>03/22 07:00:00</t>
  </si>
  <si>
    <t>03/23 07:00:00</t>
  </si>
  <si>
    <t>03/24 07:00:00</t>
  </si>
  <si>
    <t>03/25 07:00:00</t>
  </si>
  <si>
    <t>03/26 07:00:00</t>
  </si>
  <si>
    <t>03/27 07:00:00</t>
  </si>
  <si>
    <t>03/28 10:27:00</t>
  </si>
  <si>
    <t>03/28 07:00:00</t>
  </si>
  <si>
    <t>03/29 07:00:00</t>
  </si>
  <si>
    <t>03/30 07:00:00</t>
  </si>
  <si>
    <t>03/31 07:00:00</t>
  </si>
  <si>
    <t>04/01 07:00:00</t>
  </si>
  <si>
    <t>04/02 07:00:00</t>
  </si>
  <si>
    <t>04/03 07:00:00</t>
  </si>
  <si>
    <t>04/04 07:00:00</t>
  </si>
  <si>
    <t>04/05 07:00:00</t>
  </si>
  <si>
    <t>04/06 07:00:00</t>
  </si>
  <si>
    <t>04/07 07:00:00</t>
  </si>
  <si>
    <t>04/08 07:00:00</t>
  </si>
  <si>
    <t>04/09 07:00:00</t>
  </si>
  <si>
    <t>04/10 07:00:00</t>
  </si>
  <si>
    <t>04/11 07:00:00</t>
  </si>
  <si>
    <t>04/12 07:00:00</t>
  </si>
  <si>
    <t>04/12 07:01:00</t>
  </si>
  <si>
    <t>04/13 07:00:00</t>
  </si>
  <si>
    <t>04/13 07:01:00</t>
  </si>
  <si>
    <t>04/14 07:00:00</t>
  </si>
  <si>
    <t>04/15 07:00:00</t>
  </si>
  <si>
    <t>04/16 07:00:00</t>
  </si>
  <si>
    <t>04/16 07:01:00</t>
  </si>
  <si>
    <t>04/17 07:00:00</t>
  </si>
  <si>
    <t>04/18 07:00:00</t>
  </si>
  <si>
    <t>04/19 07:00:00</t>
  </si>
  <si>
    <t>04/20 07:00:00</t>
  </si>
  <si>
    <t>04/21 07:00:00</t>
  </si>
  <si>
    <t>04/22 07:00:00</t>
  </si>
  <si>
    <t>04/23 07:00:00</t>
  </si>
  <si>
    <t>04/24 07:00:00</t>
  </si>
  <si>
    <t>04/25 07:00:00</t>
  </si>
  <si>
    <t>04/26 07:00:00</t>
  </si>
  <si>
    <t>04/27 07:00:00</t>
  </si>
  <si>
    <t>04/28 07:00:00</t>
  </si>
  <si>
    <t>04/28 07:01:00</t>
  </si>
  <si>
    <t>04/29 07:00:00</t>
  </si>
  <si>
    <t>04/30 07:00:00</t>
  </si>
  <si>
    <t>05/01 07:00:00</t>
  </si>
  <si>
    <t>05/02 07:00:00</t>
  </si>
  <si>
    <t>05/03 07:00:00</t>
  </si>
  <si>
    <t>05/04 07:00:00</t>
  </si>
  <si>
    <t>05/05 07:00:00</t>
  </si>
  <si>
    <t>05/06 07:00:00</t>
  </si>
  <si>
    <t>05/07 07:00:00</t>
  </si>
  <si>
    <t>05/08 07:00:00</t>
  </si>
  <si>
    <t>05/09 07:00:00</t>
  </si>
  <si>
    <t>05/09 13:29:25</t>
  </si>
  <si>
    <t>05/10 07:00:00</t>
  </si>
  <si>
    <t>05/11 07:00:00</t>
  </si>
  <si>
    <t>05/12 07:00:00</t>
  </si>
  <si>
    <t>05/13 07:00:00</t>
  </si>
  <si>
    <t>05/14 07:00:00</t>
  </si>
  <si>
    <t>05/14 07:01:00</t>
  </si>
  <si>
    <t>05/15 07:00:00</t>
  </si>
  <si>
    <t>05/16 07:00:00</t>
  </si>
  <si>
    <t>05/17 07:00:00</t>
  </si>
  <si>
    <t>05/18 07:00:00</t>
  </si>
  <si>
    <t>05/19 07:00:00</t>
  </si>
  <si>
    <t>05/20 07:00:00</t>
  </si>
  <si>
    <t>05/21 06:58:22</t>
  </si>
  <si>
    <t>05/21 07:10:22</t>
  </si>
  <si>
    <t>05/21 07:25:22</t>
  </si>
  <si>
    <t>05/21 07:40:22</t>
  </si>
  <si>
    <t>05/21 07:45:22</t>
  </si>
  <si>
    <t>05/21 07:00:00</t>
  </si>
  <si>
    <t>05/22 07:00:00</t>
  </si>
  <si>
    <t>05/23 07:00:00</t>
  </si>
  <si>
    <t>05/24 07:00:00</t>
  </si>
  <si>
    <t>05/25 07:00:00</t>
  </si>
  <si>
    <t>05/26 07:00:00</t>
  </si>
  <si>
    <t>05/27 07:00:00</t>
  </si>
  <si>
    <t>05/28 07:00:00</t>
  </si>
  <si>
    <t>05/29 07:00:00</t>
  </si>
  <si>
    <t>05/30 07:00:00</t>
  </si>
  <si>
    <t>05/30 07:01:00</t>
  </si>
  <si>
    <t>06/01 06:02:00</t>
  </si>
  <si>
    <t>05/31 07:00:00</t>
  </si>
  <si>
    <t>06/01 07:00:00</t>
  </si>
  <si>
    <t>06/02 07:00:00</t>
  </si>
  <si>
    <t>06/02 07:01:00</t>
  </si>
  <si>
    <t>06/02 07:02:00</t>
  </si>
  <si>
    <t>06/03 07:00:00</t>
  </si>
  <si>
    <t>06/04 07:00:00</t>
  </si>
  <si>
    <t>06/05 07:00:00</t>
  </si>
  <si>
    <t>06/06 07:00:00</t>
  </si>
  <si>
    <t>06/07 07:00:00</t>
  </si>
  <si>
    <t>06/08 07:00:00</t>
  </si>
  <si>
    <t>06/08 07:01:00</t>
  </si>
  <si>
    <t>06/09 07:00:00</t>
  </si>
  <si>
    <t>06/09 12:30:00</t>
  </si>
  <si>
    <t>06/10 07:00:00</t>
  </si>
  <si>
    <t>06/11 07:00:00</t>
  </si>
  <si>
    <t>06/12 07:00:00</t>
  </si>
  <si>
    <t>06/12 07:01:00</t>
  </si>
  <si>
    <t>06/12 07:02:00</t>
  </si>
  <si>
    <t>06/13 07:00:00</t>
  </si>
  <si>
    <t>06/13 19:54:00</t>
  </si>
  <si>
    <t>06/13 22:02:00</t>
  </si>
  <si>
    <t>06/13 22:28:00</t>
  </si>
  <si>
    <t>06/13 22:51:00</t>
  </si>
  <si>
    <t>06/14 07:00:00</t>
  </si>
  <si>
    <t>06/15 07:00:00</t>
  </si>
  <si>
    <t>06/15 07:01:00</t>
  </si>
  <si>
    <t>06/16 07:00:00</t>
  </si>
  <si>
    <t>06/17 07:00:00</t>
  </si>
  <si>
    <t>06/17 07:00:30</t>
  </si>
  <si>
    <t>06/18 07:00:00</t>
  </si>
  <si>
    <t>06/19 07:00:00</t>
  </si>
  <si>
    <t>06/19 07:01:00</t>
  </si>
  <si>
    <t>06/20 07:00:00</t>
  </si>
  <si>
    <t>06/21 07:00:00</t>
  </si>
  <si>
    <t>06/22 07:00:00</t>
  </si>
  <si>
    <t>06/23 07:00:00</t>
  </si>
  <si>
    <t>06/24 07:00:00</t>
  </si>
  <si>
    <t>06/25 07:00:00</t>
  </si>
  <si>
    <t>06/26 07:00:00</t>
  </si>
  <si>
    <t>06/27 07:00:00</t>
  </si>
  <si>
    <t>06/28 07:00:00</t>
  </si>
  <si>
    <t>06/29 07:00:00</t>
  </si>
  <si>
    <t>06/30 07:00:00</t>
  </si>
  <si>
    <t>06/30 07:01:00</t>
  </si>
  <si>
    <t>07/01 07:00:00</t>
  </si>
  <si>
    <t>07/02 07:00:00</t>
  </si>
  <si>
    <t>07/03 07:00:00</t>
  </si>
  <si>
    <t>07/04 03:12:00</t>
  </si>
  <si>
    <t>07/04 07:00:00</t>
  </si>
  <si>
    <t>07/05 07:00:00</t>
  </si>
  <si>
    <t>07/06 07:00:00</t>
  </si>
  <si>
    <t>07/07 07:00:00</t>
  </si>
  <si>
    <t>07/08 07:00:00</t>
  </si>
  <si>
    <t>07/09 07:00:00</t>
  </si>
  <si>
    <t>07/10 07:00:00</t>
  </si>
  <si>
    <t>07/10 12:30:00</t>
  </si>
  <si>
    <t>07/11 07:00:00</t>
  </si>
  <si>
    <t>07/12 07:00:00</t>
  </si>
  <si>
    <t>07/13 07:00:00</t>
  </si>
  <si>
    <t>07/14 07:00:00</t>
  </si>
  <si>
    <t>07/14 19:39:00</t>
  </si>
  <si>
    <t>07/15 07:00:00</t>
  </si>
  <si>
    <t>07/15 07:01:00</t>
  </si>
  <si>
    <t>07/16 07:00:00</t>
  </si>
  <si>
    <t>07/16 07:03:00</t>
  </si>
  <si>
    <t>07/17 07:00:00</t>
  </si>
  <si>
    <t>07/18 07:00:00</t>
  </si>
  <si>
    <t>07/19 07:00:00</t>
  </si>
  <si>
    <t>07/20 07:00:00</t>
  </si>
  <si>
    <t>07/21 07:00:00</t>
  </si>
  <si>
    <t>07/22 07:00:00</t>
  </si>
  <si>
    <t>07/23 07:00:00</t>
  </si>
  <si>
    <t>07/23 07:01:00</t>
  </si>
  <si>
    <t>07/25 07:26:00</t>
  </si>
  <si>
    <t>07/24 07:00:00</t>
  </si>
  <si>
    <t>07/25 07:00:00</t>
  </si>
  <si>
    <t>07/26 07:00:00</t>
  </si>
  <si>
    <t>07/26 07:01:00</t>
  </si>
  <si>
    <t>07/27 07:00:00</t>
  </si>
  <si>
    <t>07/28 07:00:00</t>
  </si>
  <si>
    <t>07/29 07:00:00</t>
  </si>
  <si>
    <t>07/30 07:00:00</t>
  </si>
  <si>
    <t>07/31 07:00:00</t>
  </si>
  <si>
    <t>08/01 07:00:00</t>
  </si>
  <si>
    <t>08/03 05:30:00</t>
  </si>
  <si>
    <t>08/02 07:00:00</t>
  </si>
  <si>
    <t>08/03 07:00:00</t>
  </si>
  <si>
    <t>08/04 07:00:00</t>
  </si>
  <si>
    <t>08/06 05:29:00</t>
  </si>
  <si>
    <t>08/05 07:00:00</t>
  </si>
  <si>
    <t>08/06 07:00:00</t>
  </si>
  <si>
    <t>08/07 07:00:00</t>
  </si>
  <si>
    <t>08/08 07:00:00</t>
  </si>
  <si>
    <t>08/09 07:00:00</t>
  </si>
  <si>
    <t>08/10 07:00:00</t>
  </si>
  <si>
    <t>08/11 05:03:00</t>
  </si>
  <si>
    <t>08/11 07:00:00</t>
  </si>
  <si>
    <t>08/13 05:45:00</t>
  </si>
  <si>
    <t>08/12 07:00:00</t>
  </si>
  <si>
    <t>08/12 07:01:00</t>
  </si>
  <si>
    <t>08/13 07:00:00</t>
  </si>
  <si>
    <t>08/14 07:00:00</t>
  </si>
  <si>
    <t>08/14 07:01:00</t>
  </si>
  <si>
    <t>08/15 07:00:00</t>
  </si>
  <si>
    <t>08/16 07:00:00</t>
  </si>
  <si>
    <t>08/17 10:53:00</t>
  </si>
  <si>
    <t>08/17 07:00:00</t>
  </si>
  <si>
    <t>08/17 07:01:00</t>
  </si>
  <si>
    <t>08/18 07:00:00</t>
  </si>
  <si>
    <t>08/19 08:33:00</t>
  </si>
  <si>
    <t>08/19 11:40:00</t>
  </si>
  <si>
    <t>08/19 07:00:00</t>
  </si>
  <si>
    <t>08/20 07:00:00</t>
  </si>
  <si>
    <t>08/20 07:01:00</t>
  </si>
  <si>
    <t>08/21 07:00:00</t>
  </si>
  <si>
    <t>08/22 07:00:00</t>
  </si>
  <si>
    <t>08/24 06:10:00</t>
  </si>
  <si>
    <t>08/23 07:00:00</t>
  </si>
  <si>
    <t>08/24 07:00:00</t>
  </si>
  <si>
    <t>08/25 17:04:00</t>
  </si>
  <si>
    <t>08/25 07:00:00</t>
  </si>
  <si>
    <t>08/26 07:00:00</t>
  </si>
  <si>
    <t>08/27 18:20:00</t>
  </si>
  <si>
    <t>08/27 07:00:00</t>
  </si>
  <si>
    <t>08/28 16:50:00</t>
  </si>
  <si>
    <t>08/28 18:05:00</t>
  </si>
  <si>
    <t>08/28 07:00:00</t>
  </si>
  <si>
    <t>08/29 16:00:00</t>
  </si>
  <si>
    <t>08/29 07:00:00</t>
  </si>
  <si>
    <t>08/30 11:00:00</t>
  </si>
  <si>
    <t>08/30 07:00:00</t>
  </si>
  <si>
    <t>08/31 07:00:00</t>
  </si>
  <si>
    <t>09/01 07:00:00</t>
  </si>
  <si>
    <t>09/02 07:00:00</t>
  </si>
  <si>
    <t>09/03 14:00:00</t>
  </si>
  <si>
    <t>09/03 07:00:00</t>
  </si>
  <si>
    <t>09/04 07:00:00</t>
  </si>
  <si>
    <t>09/06 04:11:00</t>
  </si>
  <si>
    <t>09/05 07:00:00</t>
  </si>
  <si>
    <t>09/05 07:01:00</t>
  </si>
  <si>
    <t>09/06 07:00:00</t>
  </si>
  <si>
    <t>09/07 07:00:00</t>
  </si>
  <si>
    <t>09/08 07:00:00</t>
  </si>
  <si>
    <t>09/09 14:30:00</t>
  </si>
  <si>
    <t>09/09 07:00:00</t>
  </si>
  <si>
    <t>09/10 17:20:00</t>
  </si>
  <si>
    <t>09/11 02:01:00</t>
  </si>
  <si>
    <t>09/10 07:00:00</t>
  </si>
  <si>
    <t>09/11 13:35:00</t>
  </si>
  <si>
    <t>09/11 20:17:00</t>
  </si>
  <si>
    <t>09/11 07:00:00</t>
  </si>
  <si>
    <t>09/12 07:00:00</t>
  </si>
  <si>
    <t>09/13 07:00:00</t>
  </si>
  <si>
    <t>09/14 10:31:00</t>
  </si>
  <si>
    <t>09/14 14:00:00</t>
  </si>
  <si>
    <t>09/14 07:00:00</t>
  </si>
  <si>
    <t>09/14 07:01:00</t>
  </si>
  <si>
    <t>09/15 07:00:00</t>
  </si>
  <si>
    <t>09/16 14:00:00</t>
  </si>
  <si>
    <t>09/16 18:59:00</t>
  </si>
  <si>
    <t>09/16 07:00:00</t>
  </si>
  <si>
    <t>09/17 07:00:00</t>
  </si>
  <si>
    <t>09/18 07:00:00</t>
  </si>
  <si>
    <t>09/19 07:00:00</t>
  </si>
  <si>
    <t>09/20 07:00:00</t>
  </si>
  <si>
    <t>09/21 07:00:00</t>
  </si>
  <si>
    <t>09/23 06:36:00</t>
  </si>
  <si>
    <t>09/22 07:00:00</t>
  </si>
  <si>
    <t>09/23 07:00:00</t>
  </si>
  <si>
    <t>09/22 07:01:00</t>
  </si>
  <si>
    <t>09/22 07:02:00</t>
  </si>
  <si>
    <t>09/24 07:00:00</t>
  </si>
  <si>
    <t>09/25 07:00:00</t>
  </si>
  <si>
    <t>09/26 07:00:00</t>
  </si>
  <si>
    <t>09/27 07:00:00</t>
  </si>
  <si>
    <t>09/28 13:00:00</t>
  </si>
  <si>
    <t>09/28 07:00:00</t>
  </si>
  <si>
    <t>09/29 07:00:00</t>
  </si>
  <si>
    <t>09/30 07:00:00</t>
  </si>
  <si>
    <t>10/01 07:00:00</t>
  </si>
  <si>
    <t>10/02 07:00:00</t>
  </si>
  <si>
    <t>10/03 07:00:00</t>
  </si>
  <si>
    <t>10/03 07:01:00</t>
  </si>
  <si>
    <t>10/04 07:00:00</t>
  </si>
  <si>
    <t>10/05 07:00:00</t>
  </si>
  <si>
    <t>10/06 07:00:00</t>
  </si>
  <si>
    <t>10/06 07:01:00</t>
  </si>
  <si>
    <t>10/07 07:00:00</t>
  </si>
  <si>
    <t>10/08 07:00:00</t>
  </si>
  <si>
    <t>10/09 07:00:00</t>
  </si>
  <si>
    <t>10/10 07:00:00</t>
  </si>
  <si>
    <t>10/11 07:00:00</t>
  </si>
  <si>
    <t>10/12 07:00:00</t>
  </si>
  <si>
    <t>10/12 07:01:00</t>
  </si>
  <si>
    <t>10/13 07:00:00</t>
  </si>
  <si>
    <t>10/14 07:00:00</t>
  </si>
  <si>
    <t>10/15 07:00:00</t>
  </si>
  <si>
    <t>10/16 07:00:00</t>
  </si>
  <si>
    <t>10/17 07:00:00</t>
  </si>
  <si>
    <t>10/18 07:00:00</t>
  </si>
  <si>
    <t>10/19 07:00:00</t>
  </si>
  <si>
    <t>10/20 07:00:00</t>
  </si>
  <si>
    <t>10/21 07:00:00</t>
  </si>
  <si>
    <t>10/22 07:00:00</t>
  </si>
  <si>
    <t>10/23 07:00:00</t>
  </si>
  <si>
    <t>10/24 07:00:00</t>
  </si>
  <si>
    <t>10/25 07:00:00</t>
  </si>
  <si>
    <t>10/26 07:00:00</t>
  </si>
  <si>
    <t>10/27 07:00:00</t>
  </si>
  <si>
    <t>10/28 07:00:00</t>
  </si>
  <si>
    <t>10/29 07:00:00</t>
  </si>
  <si>
    <t>10/30 07:00:00</t>
  </si>
  <si>
    <t>10/31 07:00:00</t>
  </si>
  <si>
    <t>11/01 07:00:00</t>
  </si>
  <si>
    <t>11/02 07:00:00</t>
  </si>
  <si>
    <t>11/03 07:00:00</t>
  </si>
  <si>
    <t>11/04 07:00:00</t>
  </si>
  <si>
    <t>11/05 07:00:00</t>
  </si>
  <si>
    <t>11/06 07:00:00</t>
  </si>
  <si>
    <t>11/07 07:00:00</t>
  </si>
  <si>
    <t>11/08 07:00:00</t>
  </si>
  <si>
    <t>11/09 07:00:00</t>
  </si>
  <si>
    <t>11/10 07:00:00</t>
  </si>
  <si>
    <t>11/11 07:00:00</t>
  </si>
  <si>
    <t>11/12 07:00:00</t>
  </si>
  <si>
    <t>11/12 07:01:00</t>
  </si>
  <si>
    <t>11/13 07:00:00</t>
  </si>
  <si>
    <t>11/14 07:00:00</t>
  </si>
  <si>
    <t>11/15 16:29:00</t>
  </si>
  <si>
    <t>11/15 07:00:00</t>
  </si>
  <si>
    <t>11/15 07:01:00</t>
  </si>
  <si>
    <t>11/16 07:00:00</t>
  </si>
  <si>
    <t>11/17 07:00:00</t>
  </si>
  <si>
    <t>11/18 07:00:00</t>
  </si>
  <si>
    <t>11/19 07:00:00</t>
  </si>
  <si>
    <t>11/20 07:00:00</t>
  </si>
  <si>
    <t>11/21 07:00:00</t>
  </si>
  <si>
    <t>11/22 07:00:00</t>
  </si>
  <si>
    <t>11/23 07:00:00</t>
  </si>
  <si>
    <t>11/24 07:00:00</t>
  </si>
  <si>
    <t>11/25 07:00:00</t>
  </si>
  <si>
    <t>11/26 07:00:00</t>
  </si>
  <si>
    <t>11/28 06:27:00</t>
  </si>
  <si>
    <t>11/27 07:00:00</t>
  </si>
  <si>
    <t>11/27 07:01:00</t>
  </si>
  <si>
    <t>11/28 10:21:00</t>
  </si>
  <si>
    <t>11/28 07:00:00</t>
  </si>
  <si>
    <t>11/29 13:33:00</t>
  </si>
  <si>
    <t>11/29 07:00:00</t>
  </si>
  <si>
    <t>11/30 07:00:00</t>
  </si>
  <si>
    <t>12/01 07:00:00</t>
  </si>
  <si>
    <t>12/02 07:00:00</t>
  </si>
  <si>
    <t>12/03 07:00:00</t>
  </si>
  <si>
    <t>12/04 07:00:00</t>
  </si>
  <si>
    <t>12/05 07:00:00</t>
  </si>
  <si>
    <t>12/06 07:00:00</t>
  </si>
  <si>
    <t>12/07 07:00:00</t>
  </si>
  <si>
    <t>12/08 07:00:00</t>
  </si>
  <si>
    <t>12/08 07:01:00</t>
  </si>
  <si>
    <t>12/09 07:00:00</t>
  </si>
  <si>
    <t>12/10 07:00:00</t>
  </si>
  <si>
    <t>12/11 07:00:00</t>
  </si>
  <si>
    <t>12/12 07:00:00</t>
  </si>
  <si>
    <t>12/13 07:00:00</t>
  </si>
  <si>
    <t>12/14 07:00:00</t>
  </si>
  <si>
    <t>12/14 10:31:00</t>
  </si>
  <si>
    <t>12/14 07:01:00</t>
  </si>
  <si>
    <t>12/14 07:02:00</t>
  </si>
  <si>
    <t>12/15 07:00:00</t>
  </si>
  <si>
    <t>12/15 07:01:00</t>
  </si>
  <si>
    <t>12/16 07:00:00</t>
  </si>
  <si>
    <t>12/17 07:00:00</t>
  </si>
  <si>
    <t>12/18 15:32:00</t>
  </si>
  <si>
    <t>12/18 07:00:00</t>
  </si>
  <si>
    <t>12/19 07:00:00</t>
  </si>
  <si>
    <t>12/20 07:00:00</t>
  </si>
  <si>
    <t>12/21 07:00:00</t>
  </si>
  <si>
    <t>12/21 07:01:00</t>
  </si>
  <si>
    <t>12/21 07:02:00</t>
  </si>
  <si>
    <t>12/22 07:00:00</t>
  </si>
  <si>
    <t>12/23 07:00:00</t>
  </si>
  <si>
    <t>12/24 07:00:00</t>
  </si>
  <si>
    <t>12/25 07:00:00</t>
  </si>
  <si>
    <t>12/26 07:00:00</t>
  </si>
  <si>
    <t>12/27 07:00:00</t>
  </si>
  <si>
    <t>12/28 07:00:00</t>
  </si>
  <si>
    <t>12/29 07:00:00</t>
  </si>
  <si>
    <t>12/30 07:00:00</t>
  </si>
  <si>
    <t>12/31 07:00:00</t>
  </si>
  <si>
    <t>【今日の人工衛星】3/28 2003年：情報収集衛星1号機(光学・レーダ) 日本初の偵察衛星。性能は光学が解像度1m程度と、民間衛星に比べても劣っていた。これ以降継続的に情報収集衛星が軌道上に打ち上げられることになる。</t>
    <rPh sb="81" eb="84">
      <t>ケイゾクテキ</t>
    </rPh>
    <phoneticPr fontId="1"/>
  </si>
  <si>
    <t>【今日の人工衛星】7/15 1975年：アポロ・ソユーズテスト計画 米ソの宇宙船ドッキング方式の研究のため、ソユーズ19号とアポロ(18号相当)がドッキング。デタントの中で行われたこの実験は将来のISS等にも活用されている</t>
    <rPh sb="69" eb="71">
      <t>ソウトウ</t>
    </rPh>
    <phoneticPr fontId="1"/>
  </si>
  <si>
    <t>【今日の人工衛星】3/7 2009年：Kepler NASAの、太陽系外惑星探査衛星。3年半をかけて10万個の恒星を観測し、地球のような惑星が存在するかどうかを探る。2011年2月には、多数の惑星を発見、と発表された。姿勢制御に不具合が生じたが運用は継続している。</t>
    <rPh sb="109" eb="111">
      <t>シセイ</t>
    </rPh>
    <rPh sb="111" eb="113">
      <t>セイギョ</t>
    </rPh>
    <rPh sb="114" eb="117">
      <t>フグアイ</t>
    </rPh>
    <rPh sb="118" eb="119">
      <t>ショウ</t>
    </rPh>
    <rPh sb="122" eb="124">
      <t>ウンヨウ</t>
    </rPh>
    <rPh sb="125" eb="127">
      <t>ケイゾク</t>
    </rPh>
    <phoneticPr fontId="1"/>
  </si>
  <si>
    <t>【今日の人工衛星】11/27(UTC、日本時間28日6:27) 1997年：TRMM 日本の打ち上げた熱帯降雨観測衛星。熱帯域の降雨状況を観測。当初予定の寿命3年を越えても安定して動作、2014年打上のGPM打上まで16年以上運用され、2015年に完全に運用を停止した。</t>
    <rPh sb="97" eb="98">
      <t>ネン</t>
    </rPh>
    <rPh sb="98" eb="100">
      <t>ウチアゲ</t>
    </rPh>
    <rPh sb="104" eb="106">
      <t>ウチアゲ</t>
    </rPh>
    <rPh sb="122" eb="123">
      <t>ネン</t>
    </rPh>
    <rPh sb="124" eb="126">
      <t>カンゼン</t>
    </rPh>
    <rPh sb="127" eb="129">
      <t>ウンヨウ</t>
    </rPh>
    <rPh sb="130" eb="132">
      <t>テイシ</t>
    </rPh>
    <phoneticPr fontId="1"/>
  </si>
  <si>
    <t>【今日の人工衛星】4/11 1970年：アポロ13号　アポロ計画の3度目の月着陸を目指した飛行で、月に向かう途中に事故が発生したものの、3名の飛行士が無事帰還したことから"successful failure"とも呼ばれるミッションである</t>
    <rPh sb="37" eb="40">
      <t>ツキチャクリク</t>
    </rPh>
    <rPh sb="41" eb="43">
      <t>メザ</t>
    </rPh>
    <phoneticPr fontId="1"/>
  </si>
  <si>
    <t>【今日の人工衛星】11/9 2005年：ビーナス・エクスプレス 欧州宇宙機関ESAの金星探査機。金星探査機は欧州としては初。金星の大気を観測。当初は日本の探査機「あかつき」との共同観測も予定されたが、あかつき到着の前の2014年12月に運用終了。</t>
    <rPh sb="71" eb="73">
      <t>トウショ</t>
    </rPh>
    <rPh sb="74" eb="76">
      <t>ニホン</t>
    </rPh>
    <rPh sb="77" eb="80">
      <t>タンサキ</t>
    </rPh>
    <rPh sb="88" eb="90">
      <t>キョウドウ</t>
    </rPh>
    <rPh sb="90" eb="92">
      <t>カンソク</t>
    </rPh>
    <rPh sb="93" eb="95">
      <t>ヨテイ</t>
    </rPh>
    <rPh sb="104" eb="106">
      <t>トウチャク</t>
    </rPh>
    <rPh sb="107" eb="108">
      <t>マエ</t>
    </rPh>
    <rPh sb="113" eb="114">
      <t>ネン</t>
    </rPh>
    <rPh sb="116" eb="117">
      <t>ガツ</t>
    </rPh>
    <rPh sb="118" eb="120">
      <t>ウンヨウ</t>
    </rPh>
    <rPh sb="120" eb="122">
      <t>シュウリョウ</t>
    </rPh>
    <phoneticPr fontId="1"/>
  </si>
  <si>
    <t>【今日の人工衛星】12/8 1976年：ISEE-3/ICE アメリカのハレー彗星観測衛星。当初は太陽風観測が目的だったが4回のスイングバイ等を経てハレー彗星観測に転用。長らく機器が機能していたため、再利用のためのクラウドファンディングが成立するも、再利用自体は成功せず。</t>
    <rPh sb="85" eb="86">
      <t>ナガ</t>
    </rPh>
    <rPh sb="100" eb="103">
      <t>サイリヨウ</t>
    </rPh>
    <rPh sb="119" eb="121">
      <t>セイリツ</t>
    </rPh>
    <rPh sb="125" eb="128">
      <t>サイリヨウ</t>
    </rPh>
    <rPh sb="128" eb="130">
      <t>ジタイ</t>
    </rPh>
    <rPh sb="131" eb="133">
      <t>セイコウ</t>
    </rPh>
    <phoneticPr fontId="1"/>
  </si>
  <si>
    <t>【今日の人工衛星】3/21 1996年：IRS-P3 インド宇宙研究機関のリモートセンシング衛星、PSLVロケットの実証飛行として打ち上げ。PSLVは4段式で投入能力は低いものの、2017年には最大108個の衛星を同時に打ち上げた実績有り</t>
    <rPh sb="94" eb="95">
      <t>ネン</t>
    </rPh>
    <phoneticPr fontId="1"/>
  </si>
  <si>
    <t>【今日の人工衛星】3/9 2001年：BSAT-2a 日本の放送衛星。アリアンVロケットで10:51に打上。メーカの製造トラブルで打上が半年遅れた。3度のトラブル発生、予備機運用を経て2013年2月に運用終了。</t>
    <rPh sb="84" eb="87">
      <t>ヨビキ</t>
    </rPh>
    <rPh sb="87" eb="89">
      <t>ウンヨウ</t>
    </rPh>
    <rPh sb="96" eb="97">
      <t>ネン</t>
    </rPh>
    <rPh sb="98" eb="99">
      <t>ガツ</t>
    </rPh>
    <rPh sb="100" eb="102">
      <t>ウンヨウ</t>
    </rPh>
    <rPh sb="102" eb="104">
      <t>シュウリョウ</t>
    </rPh>
    <phoneticPr fontId="1"/>
  </si>
  <si>
    <t>【今日の人工衛星】6/12 2003年：BSAT-2c 放送衛星システム所有のBSデジタル用放送衛星。アリアンVロケットで打上。BSAT-2bが打上に失敗したための代替となる衛星。一時期はBSAT-2aに代わり本放送を行っていたが、予備機運用後、2013年8月に運用終了。</t>
    <rPh sb="119" eb="122">
      <t>ウンヨウゴ</t>
    </rPh>
    <rPh sb="127" eb="128">
      <t>ネン</t>
    </rPh>
    <rPh sb="129" eb="130">
      <t>ガツ</t>
    </rPh>
    <rPh sb="131" eb="133">
      <t>ウンヨウ</t>
    </rPh>
    <rPh sb="133" eb="135">
      <t>シュウリョウ</t>
    </rPh>
    <phoneticPr fontId="1"/>
  </si>
  <si>
    <t>【今日の人工衛星】8/14(UTC) 2007年：BSAT-3a BSデジタル用の放送衛星。2011年現在BS-1,2,9,13,15chの放送を担当、2016年時点でも運用中。</t>
    <rPh sb="80" eb="81">
      <t>ネン</t>
    </rPh>
    <rPh sb="81" eb="83">
      <t>ジテン</t>
    </rPh>
    <rPh sb="85" eb="88">
      <t>ウンヨウチュウ</t>
    </rPh>
    <phoneticPr fontId="1"/>
  </si>
  <si>
    <t>【今日の人工衛星】10/28(UTC,日本時間29日6:51) 2010年：BSAT-3b 日本の衛星放送を担う衛星。BS-1,3,13,15chを担当すると共に他chの予備機としても活用中、2016年時点でも運用中。</t>
    <rPh sb="100" eb="101">
      <t>ネン</t>
    </rPh>
    <rPh sb="101" eb="103">
      <t>ジテン</t>
    </rPh>
    <rPh sb="105" eb="108">
      <t>ウンヨウチュウ</t>
    </rPh>
    <phoneticPr fontId="1"/>
  </si>
  <si>
    <t>【今日の人工衛星】2/16 1999年：JCSAT-6 JSAT（現・スカパーJSAT）が保有する通信衛星。東経124度の位置で運用されていたが2013年に東経82度へ移動、4Aから改名。2013年に運用終了。</t>
    <rPh sb="98" eb="99">
      <t>ネン</t>
    </rPh>
    <rPh sb="100" eb="102">
      <t>ウンヨウ</t>
    </rPh>
    <rPh sb="102" eb="104">
      <t>シュウリョウ</t>
    </rPh>
    <phoneticPr fontId="1"/>
  </si>
  <si>
    <t>確認</t>
    <rPh sb="0" eb="2">
      <t>カクニン</t>
    </rPh>
    <phoneticPr fontId="1"/>
  </si>
  <si>
    <t>修正</t>
    <rPh sb="0" eb="2">
      <t>シュウセイ</t>
    </rPh>
    <phoneticPr fontId="1"/>
  </si>
  <si>
    <t>02/27 07:01:00</t>
    <phoneticPr fontId="1"/>
  </si>
  <si>
    <t>【今日の人工衛星】2/27 2014年：GPM主衛星 全球降水観測計画の中心となる衛星、NASAとJAXAの共同プロジェクト。NASAは衛星本体とGMI、JAXAはDPRと打上を担当。TRMMの機能も引き継いでいる。</t>
    <rPh sb="23" eb="24">
      <t>シュ</t>
    </rPh>
    <rPh sb="24" eb="26">
      <t>エイセイ</t>
    </rPh>
    <rPh sb="36" eb="38">
      <t>チュウシン</t>
    </rPh>
    <rPh sb="41" eb="43">
      <t>エイセイ</t>
    </rPh>
    <rPh sb="54" eb="56">
      <t>キョウドウ</t>
    </rPh>
    <rPh sb="68" eb="70">
      <t>エイセイ</t>
    </rPh>
    <rPh sb="70" eb="72">
      <t>ホンタイ</t>
    </rPh>
    <rPh sb="86" eb="88">
      <t>ウチアゲ</t>
    </rPh>
    <rPh sb="89" eb="91">
      <t>タントウ</t>
    </rPh>
    <rPh sb="97" eb="99">
      <t>キノウ</t>
    </rPh>
    <rPh sb="100" eb="101">
      <t>ヒ</t>
    </rPh>
    <rPh sb="102" eb="103">
      <t>ツ</t>
    </rPh>
    <phoneticPr fontId="1"/>
  </si>
  <si>
    <t>追加</t>
    <rPh sb="0" eb="2">
      <t>ツイカ</t>
    </rPh>
    <phoneticPr fontId="1"/>
  </si>
  <si>
    <t>【今日の人工衛星】8/3 2004年：メッセンジャー アメリカの水星探査機。7回のスイングバイを経て2011年3月18日に水星周回軌道入り。2015年5月に水星に落下してミッション完了するまでに、水星全体の撮影など様々な成果を上げた。</t>
    <rPh sb="74" eb="75">
      <t>ネン</t>
    </rPh>
    <rPh sb="76" eb="77">
      <t>ガツ</t>
    </rPh>
    <rPh sb="78" eb="80">
      <t>スイセイ</t>
    </rPh>
    <rPh sb="81" eb="83">
      <t>ラッカ</t>
    </rPh>
    <rPh sb="90" eb="92">
      <t>カンリョウ</t>
    </rPh>
    <rPh sb="98" eb="100">
      <t>スイセイ</t>
    </rPh>
    <rPh sb="100" eb="102">
      <t>ゼンタイ</t>
    </rPh>
    <rPh sb="103" eb="105">
      <t>サツエイ</t>
    </rPh>
    <rPh sb="107" eb="109">
      <t>サマザマ</t>
    </rPh>
    <rPh sb="110" eb="112">
      <t>セイカ</t>
    </rPh>
    <rPh sb="113" eb="114">
      <t>ア</t>
    </rPh>
    <phoneticPr fontId="1"/>
  </si>
  <si>
    <t xml:space="preserve">【今日の人工衛星】8/20 1977年：ボイジャー2号 宇宙探査機。木星・土星・天王星・海王星のグランドツアーを初めて実現した探査機 </t>
    <rPh sb="56" eb="57">
      <t>ハジ</t>
    </rPh>
    <phoneticPr fontId="1"/>
  </si>
  <si>
    <t>★2010年の今日9/11 20:17、H-IIAロケット18号機で準天頂衛星みちびきが打ち上げられました。</t>
    <phoneticPr fontId="1"/>
  </si>
  <si>
    <t>【今日の人工衛星】9/11 (20:17打上) 2010年：みちびき 準天頂衛星初号機。GPS補完信号を送信し精度を補完。twitter上では@QZSS が毎日挨拶をしてくれていましたが、内閣府に移管されて挨拶終了となりました</t>
    <rPh sb="94" eb="97">
      <t>ナイカクフ</t>
    </rPh>
    <rPh sb="98" eb="100">
      <t>イカン</t>
    </rPh>
    <rPh sb="103" eb="105">
      <t>アイサツ</t>
    </rPh>
    <rPh sb="105" eb="107">
      <t>シュウリョウ</t>
    </rPh>
    <phoneticPr fontId="1"/>
  </si>
  <si>
    <t>【今日の人工衛星】9/11 (13:35打上) 2006年：情報収集衛星光学2号機(IGS-3A) 日本の偵察衛星。H-IIA6号機の失敗をうけ、今回から1機ずつの打上となった。2013年11月に運用停止、2016年10月に大気圏に再突入して消滅した。</t>
    <rPh sb="93" eb="94">
      <t>ネン</t>
    </rPh>
    <rPh sb="96" eb="97">
      <t>ガツ</t>
    </rPh>
    <rPh sb="98" eb="100">
      <t>ウンヨウ</t>
    </rPh>
    <rPh sb="100" eb="102">
      <t>テイシ</t>
    </rPh>
    <rPh sb="107" eb="108">
      <t>ネン</t>
    </rPh>
    <rPh sb="110" eb="111">
      <t>ガツ</t>
    </rPh>
    <rPh sb="112" eb="115">
      <t>タイキケン</t>
    </rPh>
    <rPh sb="116" eb="119">
      <t>サイトツニュウ</t>
    </rPh>
    <rPh sb="121" eb="123">
      <t>ショウメツ</t>
    </rPh>
    <phoneticPr fontId="1"/>
  </si>
  <si>
    <t>★2006年の今日9/11 13:35、H-IIAロケット10号機で情報収集衛星光学2号機が打ち上げられました。</t>
    <phoneticPr fontId="1"/>
  </si>
  <si>
    <t>【今日の人工衛星】9/5 1977年：ボイジャー1号 木星と土星を観測した探査機、現在「地球から最も遠い距離に到達した人工物体」である。末端衝撃波面を通過中であり（通過したとの説もあり）、太陽系を脱出する初の探査機となる見込み</t>
    <rPh sb="82" eb="84">
      <t>ツウカ</t>
    </rPh>
    <rPh sb="88" eb="89">
      <t>セツ</t>
    </rPh>
    <phoneticPr fontId="1"/>
  </si>
  <si>
    <t>修正</t>
    <rPh sb="0" eb="2">
      <t>シュウセイ</t>
    </rPh>
    <phoneticPr fontId="1"/>
  </si>
  <si>
    <t>追記</t>
    <rPh sb="0" eb="2">
      <t>ツイキ</t>
    </rPh>
    <phoneticPr fontId="1"/>
  </si>
  <si>
    <t>誤変換修正</t>
    <rPh sb="0" eb="3">
      <t>ゴヘンカン</t>
    </rPh>
    <rPh sb="3" eb="5">
      <t>シュウセイ</t>
    </rPh>
    <phoneticPr fontId="1"/>
  </si>
  <si>
    <t>修正</t>
    <rPh sb="0" eb="2">
      <t>シュウセイ</t>
    </rPh>
    <phoneticPr fontId="1"/>
  </si>
  <si>
    <t>【今日の人工衛星】12/13 1967年：パイオニア8号 アメリカの太陽観測衛星。惑星間の太陽風、太陽磁場、宇宙線を精密に観測することが目的。</t>
    <rPh sb="41" eb="44">
      <t>ワクセイカン</t>
    </rPh>
    <rPh sb="58" eb="60">
      <t>セイミツ</t>
    </rPh>
    <rPh sb="61" eb="63">
      <t>カンソク</t>
    </rPh>
    <rPh sb="68" eb="70">
      <t>モクテキ</t>
    </rPh>
    <phoneticPr fontId="1"/>
  </si>
  <si>
    <t>【今日の人工衛星】12/21 1968年：アポロ8号 アポロ計画2回目の有人飛行で、初めて月を周回して帰還。月面の奥に地球の出が見える写真はこれで撮影された。当初は月まで行かない予定だったが旧ソ連に負けないための急な予定変更であった</t>
    <rPh sb="45" eb="46">
      <t>ツキ</t>
    </rPh>
    <phoneticPr fontId="1"/>
  </si>
  <si>
    <t>【今日の人工衛星】1/19 2006年：ニューホライズンズ アメリカの惑星探査機。人類初の冥王星探査機である。打ち上げ直後の速度30km/sは史上最速、月軌道および木星までも史上最速で駆け抜け、冥王星を2015年から2016年にかけて探査。その後は太陽系外縁天体を観測予定。</t>
    <rPh sb="105" eb="106">
      <t>ネン</t>
    </rPh>
    <rPh sb="112" eb="113">
      <t>ネン</t>
    </rPh>
    <rPh sb="117" eb="119">
      <t>タンサ</t>
    </rPh>
    <rPh sb="122" eb="123">
      <t>ゴ</t>
    </rPh>
    <rPh sb="124" eb="127">
      <t>タイヨウケイ</t>
    </rPh>
    <rPh sb="132" eb="134">
      <t>カンソク</t>
    </rPh>
    <rPh sb="134" eb="136">
      <t>ヨテイ</t>
    </rPh>
    <phoneticPr fontId="1"/>
  </si>
  <si>
    <t>修正</t>
    <rPh sb="0" eb="2">
      <t>シュウセイ</t>
    </rPh>
    <phoneticPr fontId="1"/>
  </si>
  <si>
    <t>【今日の人工衛星】4/28 2008年：SEEDS-2(日大)Cute-1.7(東工大) 両大学の小型衛星(CubeSat)。このときインドPSLVロケットは同時に合計10個の衛星を打ち上げたがこれは同ロケットの当時の最大記録だった（現在は100個以上となっている）</t>
    <rPh sb="106" eb="108">
      <t>トウジ</t>
    </rPh>
    <rPh sb="117" eb="119">
      <t>ゲンザイ</t>
    </rPh>
    <rPh sb="123" eb="124">
      <t>コ</t>
    </rPh>
    <rPh sb="124" eb="126">
      <t>イジョウ</t>
    </rPh>
    <phoneticPr fontId="1"/>
  </si>
  <si>
    <t>【今日の人工衛星】5/3 2000年：GOES-11 アメリカの気象衛星GOESシリーズの11号機。2011年12月にGOES-15に任務を引き継ぐまで西経135度で西海岸・太平洋を観測。なお1986年の同日には7番目のGが打ち上げられたが、これは失敗している</t>
    <rPh sb="54" eb="55">
      <t>ネン</t>
    </rPh>
    <rPh sb="57" eb="58">
      <t>ガツ</t>
    </rPh>
    <rPh sb="67" eb="69">
      <t>ニンム</t>
    </rPh>
    <rPh sb="70" eb="71">
      <t>ヒ</t>
    </rPh>
    <rPh sb="72" eb="73">
      <t>ツ</t>
    </rPh>
    <phoneticPr fontId="1"/>
  </si>
  <si>
    <t>【今日の人工衛星】2/23 1977年：きく2号 日本初の静止衛星。きくシリーズは技術試験衛星。</t>
    <phoneticPr fontId="1"/>
  </si>
  <si>
    <t>02/23 07:01:00</t>
    <phoneticPr fontId="1"/>
  </si>
  <si>
    <t>★1977年の今日2/23 17:50、N-Iロケット3号機できく2号が打ち上げられました。</t>
    <phoneticPr fontId="1"/>
  </si>
  <si>
    <t>12/03 07:01:00</t>
    <phoneticPr fontId="1"/>
  </si>
  <si>
    <t>追加</t>
    <rPh sb="0" eb="2">
      <t>ツイカ</t>
    </rPh>
    <phoneticPr fontId="1"/>
  </si>
  <si>
    <t>【今日の人工衛星】12/3(日本時間) 1997年：JCSAT-1B 日本のJSAT(現・スカパーJSAT)が打ち上げた通信衛星。アリアン4ロケットで打ち上げられ、現在も運用中である。</t>
    <phoneticPr fontId="1"/>
  </si>
  <si>
    <t>【今日の人工衛星】12/3 2014年：はやぶさ2 小惑星探査機。「はやぶさ」後継機として小惑星1999 JU3(打ち上げ後にリュウグウと命名)と往復、2020年12月6日にサンプルリターンに成功。小惑星1998KY26を目指す拡張ミッションを実施中</t>
    <rPh sb="26" eb="29">
      <t>ショウワクセイ</t>
    </rPh>
    <rPh sb="29" eb="32">
      <t>タンサキ</t>
    </rPh>
    <rPh sb="39" eb="42">
      <t>コウケイキ</t>
    </rPh>
    <rPh sb="45" eb="48">
      <t>ショウワクセイ</t>
    </rPh>
    <rPh sb="57" eb="58">
      <t>ウ</t>
    </rPh>
    <rPh sb="59" eb="60">
      <t>ア</t>
    </rPh>
    <rPh sb="61" eb="62">
      <t>ゴ</t>
    </rPh>
    <rPh sb="69" eb="71">
      <t>メイメイ</t>
    </rPh>
    <rPh sb="73" eb="75">
      <t>オウフク</t>
    </rPh>
    <rPh sb="80" eb="81">
      <t>ネン</t>
    </rPh>
    <rPh sb="83" eb="84">
      <t>ガツ</t>
    </rPh>
    <rPh sb="85" eb="86">
      <t>ニチ</t>
    </rPh>
    <rPh sb="96" eb="98">
      <t>セイコウ</t>
    </rPh>
    <rPh sb="99" eb="102">
      <t>ショウワクセイ</t>
    </rPh>
    <rPh sb="111" eb="113">
      <t>メザ</t>
    </rPh>
    <rPh sb="114" eb="116">
      <t>カクチョウ</t>
    </rPh>
    <rPh sb="122" eb="125">
      <t>ジッシチュウ</t>
    </rPh>
    <phoneticPr fontId="1"/>
  </si>
  <si>
    <t>【今日の人工衛星】7/24 1992年：GEOTAIL 宇宙科学研究所が開発・運用、NASAが打ち上げを担当した磁気圏観測衛星。データレコーダーが動作を停止したため、2022年11月28日運用終了。1999年までは月スイングバイにより軌道変更をしていた(計14回)</t>
    <rPh sb="73" eb="75">
      <t>ドウサ</t>
    </rPh>
    <rPh sb="76" eb="78">
      <t>テイシ</t>
    </rPh>
    <rPh sb="94" eb="96">
      <t>ウンヨウ</t>
    </rPh>
    <rPh sb="96" eb="98">
      <t>シュウリョウ</t>
    </rPh>
    <phoneticPr fontId="1"/>
  </si>
  <si>
    <t>12/06 02:54:00</t>
    <phoneticPr fontId="1"/>
  </si>
  <si>
    <t>12/05 14:30:00</t>
    <phoneticPr fontId="1"/>
  </si>
  <si>
    <t>12/05 16:31:00</t>
    <phoneticPr fontId="1"/>
  </si>
  <si>
    <t>【今日の人工衛星】2/18 2006年：MTSAT-2[ひまわり7号] 運輸多目的衛星。気象観測ミッションは2010年より本番運用に入った。2015年7月には後継機の8号に気象観測を引き継ぎ、9号打上により待機運用も終了。航空管制運用も2020年3月に終了した。</t>
    <rPh sb="74" eb="75">
      <t>ネン</t>
    </rPh>
    <rPh sb="76" eb="77">
      <t>ガツ</t>
    </rPh>
    <rPh sb="79" eb="82">
      <t>コウケイキ</t>
    </rPh>
    <rPh sb="84" eb="85">
      <t>ゴウ</t>
    </rPh>
    <rPh sb="86" eb="88">
      <t>キショウ</t>
    </rPh>
    <rPh sb="88" eb="90">
      <t>カンソク</t>
    </rPh>
    <rPh sb="91" eb="92">
      <t>ヒ</t>
    </rPh>
    <rPh sb="93" eb="94">
      <t>ツ</t>
    </rPh>
    <rPh sb="97" eb="98">
      <t>ゴウ</t>
    </rPh>
    <rPh sb="98" eb="100">
      <t>ウチアゲ</t>
    </rPh>
    <rPh sb="103" eb="105">
      <t>タイキ</t>
    </rPh>
    <rPh sb="105" eb="107">
      <t>ウンヨウ</t>
    </rPh>
    <rPh sb="108" eb="110">
      <t>シュウリョウ</t>
    </rPh>
    <rPh sb="111" eb="113">
      <t>コウクウ</t>
    </rPh>
    <rPh sb="113" eb="115">
      <t>カンセイ</t>
    </rPh>
    <rPh sb="115" eb="117">
      <t>ウンヨウ</t>
    </rPh>
    <rPh sb="122" eb="123">
      <t>ネン</t>
    </rPh>
    <rPh sb="124" eb="125">
      <t>ガツ</t>
    </rPh>
    <rPh sb="126" eb="128">
      <t>シュウリョウ</t>
    </rPh>
    <phoneticPr fontId="1"/>
  </si>
  <si>
    <t>05/21 02:31:00</t>
    <phoneticPr fontId="1"/>
  </si>
  <si>
    <t>05/20 07:01:00</t>
    <phoneticPr fontId="1"/>
  </si>
  <si>
    <t>★2011年の今日1/22 14:37、H-IIBロケット2号機で宇宙ステーション補給機こうのとり2号機(HTV-2)が打ち上げられました。</t>
    <phoneticPr fontId="1"/>
  </si>
  <si>
    <t>【今日の人工衛星】5/20(UTC) 2020年：こうのとり9号機(HTV-9) 宇宙ステーション補給機。6.2トンの物資をISSに無事輸送した。こうのとりは打ち上げに用いられたH-IIBロケットとともに、9号機をもって退役した。</t>
    <rPh sb="41" eb="43">
      <t>ウチュウ</t>
    </rPh>
    <rPh sb="49" eb="51">
      <t>ホキュウ</t>
    </rPh>
    <rPh sb="51" eb="52">
      <t>キ</t>
    </rPh>
    <rPh sb="59" eb="61">
      <t>ブッシ</t>
    </rPh>
    <rPh sb="66" eb="68">
      <t>ブジ</t>
    </rPh>
    <rPh sb="68" eb="70">
      <t>ユソウ</t>
    </rPh>
    <rPh sb="79" eb="80">
      <t>ウ</t>
    </rPh>
    <rPh sb="81" eb="82">
      <t>ア</t>
    </rPh>
    <rPh sb="84" eb="85">
      <t>モチ</t>
    </rPh>
    <rPh sb="104" eb="106">
      <t>ゴウキ</t>
    </rPh>
    <rPh sb="110" eb="112">
      <t>タイエキ</t>
    </rPh>
    <phoneticPr fontId="1"/>
  </si>
  <si>
    <t>【今日の人工衛星】12/7 1972年：アポロ17号 米・アポロ計画最後の打上。アポロ計画では初の夜間打上となった。有名な https://ja.wikipedia.org/wiki/%E3%83%95%E3%82%A1%E3%82%A4%E3%83%AB:The_Earth_seen_from_Apollo_17.jpg 青い地球の写真は17号で撮影されたもの。着陸船の離陸も撮影された</t>
    <phoneticPr fontId="1"/>
  </si>
  <si>
    <t>URL正規化</t>
    <rPh sb="3" eb="6">
      <t>セイキカ</t>
    </rPh>
    <phoneticPr fontId="1"/>
  </si>
  <si>
    <t>n010801t1</t>
    <phoneticPr fontId="1"/>
  </si>
  <si>
    <t>n010101d</t>
  </si>
  <si>
    <t>n010201d</t>
  </si>
  <si>
    <t>n010301d</t>
  </si>
  <si>
    <t>n010401d</t>
  </si>
  <si>
    <t>n010501d</t>
  </si>
  <si>
    <t>n010601d</t>
  </si>
  <si>
    <t>n010701d</t>
  </si>
  <si>
    <t>n010801d</t>
  </si>
  <si>
    <t>n010901d</t>
  </si>
  <si>
    <t>n011001d</t>
  </si>
  <si>
    <t>n011101d</t>
  </si>
  <si>
    <t>n011201d</t>
  </si>
  <si>
    <t>n011301d</t>
  </si>
  <si>
    <t>n011401d</t>
  </si>
  <si>
    <t>n011501d</t>
  </si>
  <si>
    <t>n011601d</t>
  </si>
  <si>
    <t>n011701d</t>
  </si>
  <si>
    <t>n011801d</t>
  </si>
  <si>
    <t>n011901d</t>
  </si>
  <si>
    <t>n012001d</t>
  </si>
  <si>
    <t>n012101d</t>
  </si>
  <si>
    <t>n012201d</t>
  </si>
  <si>
    <t>n012301d</t>
  </si>
  <si>
    <t>n012401d</t>
  </si>
  <si>
    <t>n012501d</t>
  </si>
  <si>
    <t>n012601d</t>
  </si>
  <si>
    <t>n012701d</t>
  </si>
  <si>
    <t>n012801d</t>
  </si>
  <si>
    <t>n012901d</t>
  </si>
  <si>
    <t>n013001d</t>
  </si>
  <si>
    <t>n013101d</t>
  </si>
  <si>
    <t>n020101d</t>
  </si>
  <si>
    <t>n020201d</t>
  </si>
  <si>
    <t>n020301d</t>
  </si>
  <si>
    <t>n020401d</t>
  </si>
  <si>
    <t>n020501d</t>
  </si>
  <si>
    <t>n020601d</t>
  </si>
  <si>
    <t>n020701d</t>
  </si>
  <si>
    <t>n020801d</t>
  </si>
  <si>
    <t>n020901d</t>
  </si>
  <si>
    <t>n021001d</t>
  </si>
  <si>
    <t>n021101d</t>
  </si>
  <si>
    <t>n021201d</t>
  </si>
  <si>
    <t>n021301d</t>
  </si>
  <si>
    <t>n021401d</t>
  </si>
  <si>
    <t>n021501d</t>
  </si>
  <si>
    <t>n021601d</t>
  </si>
  <si>
    <t>n021701d</t>
  </si>
  <si>
    <t>n021801d</t>
  </si>
  <si>
    <t>n021901d</t>
  </si>
  <si>
    <t>n022001d</t>
  </si>
  <si>
    <t>n022101d</t>
  </si>
  <si>
    <t>n022201d</t>
  </si>
  <si>
    <t>n022301d</t>
  </si>
  <si>
    <t>n022401d</t>
  </si>
  <si>
    <t>n022501d</t>
  </si>
  <si>
    <t>n022601d</t>
  </si>
  <si>
    <t>n022701d</t>
  </si>
  <si>
    <t>n022801d</t>
  </si>
  <si>
    <t>n022901d</t>
  </si>
  <si>
    <t>n030101d</t>
  </si>
  <si>
    <t>n030201d</t>
  </si>
  <si>
    <t>n030301d</t>
  </si>
  <si>
    <t>n030401d</t>
  </si>
  <si>
    <t>n030501d</t>
  </si>
  <si>
    <t>n030601d</t>
  </si>
  <si>
    <t>n030701d</t>
  </si>
  <si>
    <t>n030801d</t>
  </si>
  <si>
    <t>n030901d</t>
  </si>
  <si>
    <t>n031001d</t>
  </si>
  <si>
    <t>n031101d</t>
  </si>
  <si>
    <t>n031201d</t>
  </si>
  <si>
    <t>n031301d</t>
  </si>
  <si>
    <t>n031401d</t>
  </si>
  <si>
    <t>n031501d</t>
  </si>
  <si>
    <t>n031601d</t>
  </si>
  <si>
    <t>n031701d</t>
  </si>
  <si>
    <t>n031801d</t>
  </si>
  <si>
    <t>n031901d</t>
  </si>
  <si>
    <t>n032001d</t>
  </si>
  <si>
    <t>n032101d</t>
  </si>
  <si>
    <t>n032201d</t>
  </si>
  <si>
    <t>n032301d</t>
  </si>
  <si>
    <t>n032401d</t>
  </si>
  <si>
    <t>n032501d</t>
  </si>
  <si>
    <t>n032601d</t>
  </si>
  <si>
    <t>n032701d</t>
  </si>
  <si>
    <t>n032801d</t>
  </si>
  <si>
    <t>n032901d</t>
  </si>
  <si>
    <t>n033001d</t>
  </si>
  <si>
    <t>n033101d</t>
  </si>
  <si>
    <t>n040101d</t>
  </si>
  <si>
    <t>n040201d</t>
  </si>
  <si>
    <t>n040301d</t>
  </si>
  <si>
    <t>n040401d</t>
  </si>
  <si>
    <t>n040501d</t>
  </si>
  <si>
    <t>n040601d</t>
  </si>
  <si>
    <t>n040701d</t>
  </si>
  <si>
    <t>n040801d</t>
  </si>
  <si>
    <t>n040901d</t>
  </si>
  <si>
    <t>n041001d</t>
  </si>
  <si>
    <t>n041101d</t>
  </si>
  <si>
    <t>n041201d</t>
  </si>
  <si>
    <t>n041301d</t>
  </si>
  <si>
    <t>n041401d</t>
  </si>
  <si>
    <t>n041501d</t>
  </si>
  <si>
    <t>n041601d</t>
  </si>
  <si>
    <t>n041701d</t>
  </si>
  <si>
    <t>n041801d</t>
  </si>
  <si>
    <t>n041901d</t>
  </si>
  <si>
    <t>n042001d</t>
  </si>
  <si>
    <t>n042101d</t>
  </si>
  <si>
    <t>n042201d</t>
  </si>
  <si>
    <t>n042301d</t>
  </si>
  <si>
    <t>n042401d</t>
  </si>
  <si>
    <t>n042501d</t>
  </si>
  <si>
    <t>n042601d</t>
  </si>
  <si>
    <t>n042701d</t>
  </si>
  <si>
    <t>n042801d</t>
  </si>
  <si>
    <t>n042901d</t>
  </si>
  <si>
    <t>n043001d</t>
  </si>
  <si>
    <t>n050101d</t>
  </si>
  <si>
    <t>n050201d</t>
  </si>
  <si>
    <t>n050301d</t>
  </si>
  <si>
    <t>n050401d</t>
  </si>
  <si>
    <t>n050501d</t>
  </si>
  <si>
    <t>n050601d</t>
  </si>
  <si>
    <t>n050701d</t>
  </si>
  <si>
    <t>n050801d</t>
  </si>
  <si>
    <t>n050901d</t>
  </si>
  <si>
    <t>n051001d</t>
  </si>
  <si>
    <t>n051101d</t>
  </si>
  <si>
    <t>n051201d</t>
  </si>
  <si>
    <t>n051301d</t>
  </si>
  <si>
    <t>n051401d</t>
  </si>
  <si>
    <t>n051501d</t>
  </si>
  <si>
    <t>n051601d</t>
  </si>
  <si>
    <t>n051701d</t>
  </si>
  <si>
    <t>n051801d</t>
  </si>
  <si>
    <t>n051901d</t>
  </si>
  <si>
    <t>n052001d</t>
  </si>
  <si>
    <t>n052101d</t>
  </si>
  <si>
    <t>n052201d</t>
  </si>
  <si>
    <t>n052301d</t>
  </si>
  <si>
    <t>n052401d</t>
  </si>
  <si>
    <t>n052501d</t>
  </si>
  <si>
    <t>n052601d</t>
  </si>
  <si>
    <t>n052701d</t>
  </si>
  <si>
    <t>n052801d</t>
  </si>
  <si>
    <t>n052901d</t>
  </si>
  <si>
    <t>n053001d</t>
  </si>
  <si>
    <t>n060101d</t>
  </si>
  <si>
    <t>n053101d</t>
  </si>
  <si>
    <t>n060201d</t>
  </si>
  <si>
    <t>n060301d</t>
  </si>
  <si>
    <t>n060401d</t>
  </si>
  <si>
    <t>n060501d</t>
  </si>
  <si>
    <t>n060601d</t>
  </si>
  <si>
    <t>n060701d</t>
  </si>
  <si>
    <t>n060801d</t>
  </si>
  <si>
    <t>n060901d</t>
  </si>
  <si>
    <t>n061001d</t>
  </si>
  <si>
    <t>n061101d</t>
  </si>
  <si>
    <t>n061201d</t>
  </si>
  <si>
    <t>n061301d</t>
  </si>
  <si>
    <t>n061401d</t>
  </si>
  <si>
    <t>n061501d</t>
  </si>
  <si>
    <t>n061601d</t>
  </si>
  <si>
    <t>n061801d</t>
  </si>
  <si>
    <t>n061901d</t>
  </si>
  <si>
    <t>n062001d</t>
  </si>
  <si>
    <t>n062101d</t>
  </si>
  <si>
    <t>n062201d</t>
  </si>
  <si>
    <t>n062301d</t>
  </si>
  <si>
    <t>n062401d</t>
  </si>
  <si>
    <t>n062501d</t>
  </si>
  <si>
    <t>n062601d</t>
  </si>
  <si>
    <t>n062701d</t>
  </si>
  <si>
    <t>n062801d</t>
  </si>
  <si>
    <t>n062901d</t>
  </si>
  <si>
    <t>n063001d</t>
  </si>
  <si>
    <t>n070101d</t>
  </si>
  <si>
    <t>n070201d</t>
  </si>
  <si>
    <t>n070301d</t>
  </si>
  <si>
    <t>n070401d</t>
  </si>
  <si>
    <t>n070501d</t>
  </si>
  <si>
    <t>n070601d</t>
  </si>
  <si>
    <t>n070701d</t>
  </si>
  <si>
    <t>n070801d</t>
  </si>
  <si>
    <t>n070901d</t>
  </si>
  <si>
    <t>n071001d</t>
  </si>
  <si>
    <t>n071101d</t>
  </si>
  <si>
    <t>n071201d</t>
  </si>
  <si>
    <t>n071301d</t>
  </si>
  <si>
    <t>n071401d</t>
  </si>
  <si>
    <t>n071501d</t>
  </si>
  <si>
    <t>n071601d</t>
  </si>
  <si>
    <t>n071701d</t>
  </si>
  <si>
    <t>n071801d</t>
  </si>
  <si>
    <t>n071901d</t>
  </si>
  <si>
    <t>n072001d</t>
  </si>
  <si>
    <t>n072101d</t>
  </si>
  <si>
    <t>n072201d</t>
  </si>
  <si>
    <t>n072301d</t>
  </si>
  <si>
    <t>n072501d</t>
  </si>
  <si>
    <t>n072401d</t>
  </si>
  <si>
    <t>n072601d</t>
  </si>
  <si>
    <t>n072701d</t>
  </si>
  <si>
    <t>n072801d</t>
  </si>
  <si>
    <t>n072901d</t>
  </si>
  <si>
    <t>n073001d</t>
  </si>
  <si>
    <t>n073101d</t>
  </si>
  <si>
    <t>n080101d</t>
  </si>
  <si>
    <t>n080301d</t>
  </si>
  <si>
    <t>n080201d</t>
  </si>
  <si>
    <t>n080401d</t>
  </si>
  <si>
    <t>n080601d</t>
  </si>
  <si>
    <t>n080501d</t>
  </si>
  <si>
    <t>n080701d</t>
  </si>
  <si>
    <t>n080801d</t>
  </si>
  <si>
    <t>n080901d</t>
  </si>
  <si>
    <t>n081001d</t>
  </si>
  <si>
    <t>n081101d</t>
  </si>
  <si>
    <t>n081301d</t>
  </si>
  <si>
    <t>n081201d</t>
  </si>
  <si>
    <t>n081401d</t>
  </si>
  <si>
    <t>n081501d</t>
  </si>
  <si>
    <t>n081601d</t>
  </si>
  <si>
    <t>n081701d</t>
  </si>
  <si>
    <t>n081801d</t>
  </si>
  <si>
    <t>n081901d</t>
  </si>
  <si>
    <t>n082001d</t>
  </si>
  <si>
    <t>n082101d</t>
  </si>
  <si>
    <t>n082201d</t>
  </si>
  <si>
    <t>n082401d</t>
  </si>
  <si>
    <t>n082301d</t>
  </si>
  <si>
    <t>n082501d</t>
  </si>
  <si>
    <t>n082601d</t>
  </si>
  <si>
    <t>n082701d</t>
  </si>
  <si>
    <t>n082801d</t>
  </si>
  <si>
    <t>n082901d</t>
  </si>
  <si>
    <t>n083001d</t>
  </si>
  <si>
    <t>n083101d</t>
  </si>
  <si>
    <t>n090101d</t>
  </si>
  <si>
    <t>n090201d</t>
  </si>
  <si>
    <t>n090301d</t>
  </si>
  <si>
    <t>n090401d</t>
  </si>
  <si>
    <t>n090601d</t>
  </si>
  <si>
    <t>n090501d</t>
  </si>
  <si>
    <t>n090701d</t>
  </si>
  <si>
    <t>n090801d</t>
  </si>
  <si>
    <t>n090901d</t>
  </si>
  <si>
    <t>n091001d</t>
  </si>
  <si>
    <t>n091101d</t>
  </si>
  <si>
    <t>n091201d</t>
  </si>
  <si>
    <t>n091301d</t>
  </si>
  <si>
    <t>n091401d</t>
  </si>
  <si>
    <t>n091501d</t>
  </si>
  <si>
    <t>n091601d</t>
  </si>
  <si>
    <t>n091701d</t>
  </si>
  <si>
    <t>n091801d</t>
  </si>
  <si>
    <t>n091901d</t>
  </si>
  <si>
    <t>n092001d</t>
  </si>
  <si>
    <t>n092101d</t>
  </si>
  <si>
    <t>n092301d</t>
  </si>
  <si>
    <t>n092201d</t>
  </si>
  <si>
    <t>n092401d</t>
  </si>
  <si>
    <t>n092501d</t>
  </si>
  <si>
    <t>n092601d</t>
  </si>
  <si>
    <t>n092701d</t>
  </si>
  <si>
    <t>n092801d</t>
  </si>
  <si>
    <t>n092901d</t>
  </si>
  <si>
    <t>n093001d</t>
  </si>
  <si>
    <t>n100101d</t>
  </si>
  <si>
    <t>n100201d</t>
  </si>
  <si>
    <t>n100301d</t>
  </si>
  <si>
    <t>n100401d</t>
  </si>
  <si>
    <t>n100501d</t>
  </si>
  <si>
    <t>n100601d</t>
  </si>
  <si>
    <t>n100701d</t>
  </si>
  <si>
    <t>n100801d</t>
  </si>
  <si>
    <t>n100901d</t>
  </si>
  <si>
    <t>n101001d</t>
  </si>
  <si>
    <t>n101101d</t>
  </si>
  <si>
    <t>n101201d</t>
  </si>
  <si>
    <t>n101301d</t>
  </si>
  <si>
    <t>n101401d</t>
  </si>
  <si>
    <t>n101501d</t>
  </si>
  <si>
    <t>n101601d</t>
  </si>
  <si>
    <t>n101701d</t>
  </si>
  <si>
    <t>n101801d</t>
  </si>
  <si>
    <t>n101901d</t>
  </si>
  <si>
    <t>n102001d</t>
  </si>
  <si>
    <t>n102101d</t>
  </si>
  <si>
    <t>n102201d</t>
  </si>
  <si>
    <t>n102301d</t>
  </si>
  <si>
    <t>n102401d</t>
  </si>
  <si>
    <t>n102501d</t>
  </si>
  <si>
    <t>n102601d</t>
  </si>
  <si>
    <t>n102701d</t>
  </si>
  <si>
    <t>n102801d</t>
  </si>
  <si>
    <t>n102901d</t>
  </si>
  <si>
    <t>n103001d</t>
  </si>
  <si>
    <t>n103101d</t>
  </si>
  <si>
    <t>n110101d</t>
  </si>
  <si>
    <t>n110201d</t>
  </si>
  <si>
    <t>n110301d</t>
  </si>
  <si>
    <t>n110401d</t>
  </si>
  <si>
    <t>n110501d</t>
  </si>
  <si>
    <t>n110601d</t>
  </si>
  <si>
    <t>n110701d</t>
  </si>
  <si>
    <t>n110801d</t>
  </si>
  <si>
    <t>n110901d</t>
  </si>
  <si>
    <t>n111001d</t>
  </si>
  <si>
    <t>n111101d</t>
  </si>
  <si>
    <t>n111201d</t>
  </si>
  <si>
    <t>n111301d</t>
  </si>
  <si>
    <t>n111401d</t>
  </si>
  <si>
    <t>n111501d</t>
  </si>
  <si>
    <t>n111601d</t>
  </si>
  <si>
    <t>n111701d</t>
  </si>
  <si>
    <t>n111801d</t>
  </si>
  <si>
    <t>n111901d</t>
  </si>
  <si>
    <t>n112001d</t>
  </si>
  <si>
    <t>n112101d</t>
  </si>
  <si>
    <t>n112201d</t>
  </si>
  <si>
    <t>n112301d</t>
  </si>
  <si>
    <t>n112401d</t>
  </si>
  <si>
    <t>n112501d</t>
  </si>
  <si>
    <t>n112601d</t>
  </si>
  <si>
    <t>n112801d</t>
  </si>
  <si>
    <t>n112701d</t>
  </si>
  <si>
    <t>n112901d</t>
  </si>
  <si>
    <t>n113001d</t>
  </si>
  <si>
    <t>n120101d</t>
  </si>
  <si>
    <t>n120201d</t>
  </si>
  <si>
    <t>n120301d</t>
  </si>
  <si>
    <t>n120401d</t>
  </si>
  <si>
    <t>n120501d</t>
  </si>
  <si>
    <t>n120601d</t>
  </si>
  <si>
    <t>n120701d</t>
  </si>
  <si>
    <t>n120801d</t>
  </si>
  <si>
    <t>n120901d</t>
  </si>
  <si>
    <t>n121001d</t>
  </si>
  <si>
    <t>n121101d</t>
  </si>
  <si>
    <t>n121201d</t>
  </si>
  <si>
    <t>n121301d</t>
  </si>
  <si>
    <t>n121401d</t>
  </si>
  <si>
    <t>n121501d</t>
  </si>
  <si>
    <t>n121601d</t>
  </si>
  <si>
    <t>n121701d</t>
  </si>
  <si>
    <t>n121801d</t>
  </si>
  <si>
    <t>n121901d</t>
  </si>
  <si>
    <t>n122001d</t>
  </si>
  <si>
    <t>n122101d</t>
  </si>
  <si>
    <t>n122201d</t>
  </si>
  <si>
    <t>n122301d</t>
  </si>
  <si>
    <t>n122401d</t>
  </si>
  <si>
    <t>n122501d</t>
  </si>
  <si>
    <t>n122601d</t>
  </si>
  <si>
    <t>n122701d</t>
  </si>
  <si>
    <t>n122801d</t>
  </si>
  <si>
    <t>n122901d</t>
  </si>
  <si>
    <t>n123001d</t>
  </si>
  <si>
    <t>n123101d</t>
  </si>
  <si>
    <t>n011502d</t>
    <phoneticPr fontId="1"/>
  </si>
  <si>
    <t>n011502t1</t>
    <phoneticPr fontId="1"/>
  </si>
  <si>
    <t>n012201t1</t>
    <phoneticPr fontId="1"/>
  </si>
  <si>
    <t>n012302d</t>
    <phoneticPr fontId="1"/>
  </si>
  <si>
    <t>n012302t1</t>
    <phoneticPr fontId="1"/>
  </si>
  <si>
    <t>n012302t2</t>
    <phoneticPr fontId="1"/>
  </si>
  <si>
    <t>n012302t3</t>
    <phoneticPr fontId="1"/>
  </si>
  <si>
    <t>n012302t4</t>
    <phoneticPr fontId="1"/>
  </si>
  <si>
    <t>n012302t5</t>
    <phoneticPr fontId="1"/>
  </si>
  <si>
    <t>n012302t6</t>
    <phoneticPr fontId="1"/>
  </si>
  <si>
    <t>n012302t7</t>
    <phoneticPr fontId="1"/>
  </si>
  <si>
    <t>n012302t8</t>
    <phoneticPr fontId="1"/>
  </si>
  <si>
    <t>n012402d</t>
    <phoneticPr fontId="1"/>
  </si>
  <si>
    <t>n012401t1</t>
    <phoneticPr fontId="1"/>
  </si>
  <si>
    <t>n012402t1</t>
    <phoneticPr fontId="1"/>
  </si>
  <si>
    <t>n012702d</t>
    <phoneticPr fontId="1"/>
  </si>
  <si>
    <t>n020201d1</t>
    <phoneticPr fontId="1"/>
  </si>
  <si>
    <t>補足：イランは自力の打ち上げ能力を持つ9カ国目。V2ロケット⇒ソ連：スカッド⇒北朝鮮：ノドン⇒イラン：シャハブ（弾道ミサイル）⇒イラン：サフィール　という流れで打上能力を確保。その後、北朝鮮とニュージーランド・韓国も打上能力を獲得し、合計12ヶ国が人工衛星打上実績を持つ。</t>
    <rPh sb="90" eb="91">
      <t>ゴ</t>
    </rPh>
    <rPh sb="92" eb="95">
      <t>キタチョウセン</t>
    </rPh>
    <rPh sb="105" eb="107">
      <t>カンコク</t>
    </rPh>
    <rPh sb="108" eb="110">
      <t>ウチアゲ</t>
    </rPh>
    <rPh sb="110" eb="112">
      <t>ノウリョク</t>
    </rPh>
    <rPh sb="113" eb="115">
      <t>カクトク</t>
    </rPh>
    <rPh sb="117" eb="119">
      <t>ゴウケイ</t>
    </rPh>
    <rPh sb="122" eb="123">
      <t>コク</t>
    </rPh>
    <rPh sb="124" eb="126">
      <t>ジンコウ</t>
    </rPh>
    <rPh sb="126" eb="128">
      <t>エイセイ</t>
    </rPh>
    <rPh sb="128" eb="129">
      <t>ウ</t>
    </rPh>
    <rPh sb="129" eb="130">
      <t>ア</t>
    </rPh>
    <rPh sb="130" eb="132">
      <t>ジッセキ</t>
    </rPh>
    <rPh sb="133" eb="134">
      <t>モ</t>
    </rPh>
    <phoneticPr fontId="1"/>
  </si>
  <si>
    <t>ニュージーランドを数えない場合もある</t>
    <rPh sb="9" eb="10">
      <t>カゾ</t>
    </rPh>
    <rPh sb="13" eb="15">
      <t>バアイ</t>
    </rPh>
    <phoneticPr fontId="1"/>
  </si>
  <si>
    <t>n020302d</t>
    <phoneticPr fontId="1"/>
  </si>
  <si>
    <t>n020401t1</t>
    <phoneticPr fontId="1"/>
  </si>
  <si>
    <t>n020401t2</t>
    <phoneticPr fontId="1"/>
  </si>
  <si>
    <t>n020401t3</t>
    <phoneticPr fontId="1"/>
  </si>
  <si>
    <t>n020501t1</t>
    <phoneticPr fontId="1"/>
  </si>
  <si>
    <t>n020601t1</t>
    <phoneticPr fontId="1"/>
  </si>
  <si>
    <t>n020702d</t>
    <phoneticPr fontId="1"/>
  </si>
  <si>
    <t>n020702t1</t>
    <phoneticPr fontId="1"/>
  </si>
  <si>
    <t>n021002d</t>
    <phoneticPr fontId="1"/>
  </si>
  <si>
    <t>n021002t1</t>
    <phoneticPr fontId="1"/>
  </si>
  <si>
    <t>n021102d</t>
    <phoneticPr fontId="1"/>
  </si>
  <si>
    <t>n021102t1</t>
    <phoneticPr fontId="1"/>
  </si>
  <si>
    <t>n021101t1</t>
    <phoneticPr fontId="1"/>
  </si>
  <si>
    <t>n021102t2</t>
    <phoneticPr fontId="1"/>
  </si>
  <si>
    <t>n021202d</t>
    <phoneticPr fontId="1"/>
  </si>
  <si>
    <t>n021202t1</t>
    <phoneticPr fontId="1"/>
  </si>
  <si>
    <t>n021602d</t>
    <phoneticPr fontId="1"/>
  </si>
  <si>
    <t>n021603d</t>
    <phoneticPr fontId="1"/>
  </si>
  <si>
    <t>n021601t1</t>
    <phoneticPr fontId="1"/>
  </si>
  <si>
    <t>n021601t2</t>
    <phoneticPr fontId="1"/>
  </si>
  <si>
    <t>n021702d</t>
    <phoneticPr fontId="1"/>
  </si>
  <si>
    <t>n021702t1</t>
    <phoneticPr fontId="1"/>
  </si>
  <si>
    <t>n021802d</t>
    <phoneticPr fontId="1"/>
  </si>
  <si>
    <t>n021801t1</t>
    <phoneticPr fontId="1"/>
  </si>
  <si>
    <t>n021902d</t>
    <phoneticPr fontId="1"/>
  </si>
  <si>
    <t>n021901t1</t>
    <phoneticPr fontId="1"/>
  </si>
  <si>
    <t>n022002d</t>
    <phoneticPr fontId="1"/>
  </si>
  <si>
    <t>n022003d</t>
    <phoneticPr fontId="1"/>
  </si>
  <si>
    <t>n022002t1</t>
    <phoneticPr fontId="1"/>
  </si>
  <si>
    <t>n022001t1</t>
    <phoneticPr fontId="1"/>
  </si>
  <si>
    <t>n022103t1</t>
    <phoneticPr fontId="1"/>
  </si>
  <si>
    <t>n022003t1</t>
    <phoneticPr fontId="1"/>
  </si>
  <si>
    <t>n022003t2</t>
    <phoneticPr fontId="1"/>
  </si>
  <si>
    <t>n022003t3</t>
    <phoneticPr fontId="1"/>
  </si>
  <si>
    <t>n022102d</t>
    <phoneticPr fontId="1"/>
  </si>
  <si>
    <t>n022103d</t>
    <phoneticPr fontId="1"/>
  </si>
  <si>
    <t>n022101t1</t>
    <phoneticPr fontId="1"/>
  </si>
  <si>
    <t>n022101t2</t>
    <phoneticPr fontId="1"/>
  </si>
  <si>
    <t>n022102t1</t>
    <phoneticPr fontId="1"/>
  </si>
  <si>
    <t>n022201t1</t>
    <phoneticPr fontId="1"/>
  </si>
  <si>
    <t>n022302d</t>
    <phoneticPr fontId="1"/>
  </si>
  <si>
    <t>n022301t1</t>
    <phoneticPr fontId="1"/>
  </si>
  <si>
    <t>n022302t1</t>
    <phoneticPr fontId="1"/>
  </si>
  <si>
    <t>n022401t1</t>
    <phoneticPr fontId="1"/>
  </si>
  <si>
    <t>n022402d</t>
    <phoneticPr fontId="1"/>
  </si>
  <si>
    <t>n022602d</t>
    <phoneticPr fontId="1"/>
  </si>
  <si>
    <t>n022601t1</t>
    <phoneticPr fontId="1"/>
  </si>
  <si>
    <t>n022702d</t>
    <phoneticPr fontId="1"/>
  </si>
  <si>
    <t>n022702t1</t>
    <phoneticPr fontId="1"/>
  </si>
  <si>
    <t>n022901t1</t>
    <phoneticPr fontId="1"/>
  </si>
  <si>
    <t>n031101t1</t>
    <phoneticPr fontId="1"/>
  </si>
  <si>
    <t>n031801t1</t>
    <phoneticPr fontId="1"/>
  </si>
  <si>
    <t>n032801t1</t>
    <phoneticPr fontId="1"/>
  </si>
  <si>
    <t>n041202d</t>
    <phoneticPr fontId="1"/>
  </si>
  <si>
    <t>n041302d</t>
    <phoneticPr fontId="1"/>
  </si>
  <si>
    <t>n041602d</t>
    <phoneticPr fontId="1"/>
  </si>
  <si>
    <t>n042802d</t>
    <phoneticPr fontId="1"/>
  </si>
  <si>
    <t>n050901t1</t>
    <phoneticPr fontId="1"/>
  </si>
  <si>
    <t>n051402d</t>
    <phoneticPr fontId="1"/>
  </si>
  <si>
    <t>n052002d</t>
    <phoneticPr fontId="1"/>
  </si>
  <si>
    <t>n052002t1</t>
    <phoneticPr fontId="1"/>
  </si>
  <si>
    <t>n052001t1</t>
    <phoneticPr fontId="1"/>
  </si>
  <si>
    <t>n052001t2</t>
    <phoneticPr fontId="1"/>
  </si>
  <si>
    <t>n052001t3</t>
    <phoneticPr fontId="1"/>
  </si>
  <si>
    <t>n052001t4</t>
    <phoneticPr fontId="1"/>
  </si>
  <si>
    <t>n052001t5</t>
    <phoneticPr fontId="1"/>
  </si>
  <si>
    <t>n053002d</t>
    <phoneticPr fontId="1"/>
  </si>
  <si>
    <t>n053101t1</t>
    <phoneticPr fontId="1"/>
  </si>
  <si>
    <t>n060202d</t>
    <phoneticPr fontId="1"/>
  </si>
  <si>
    <t>n060203d</t>
    <phoneticPr fontId="1"/>
  </si>
  <si>
    <t>n060802d</t>
    <phoneticPr fontId="1"/>
  </si>
  <si>
    <t>n061202d</t>
    <phoneticPr fontId="1"/>
  </si>
  <si>
    <t>n061203d</t>
    <phoneticPr fontId="1"/>
  </si>
  <si>
    <t>n061502d</t>
    <phoneticPr fontId="1"/>
  </si>
  <si>
    <t>n061701d1</t>
    <phoneticPr fontId="1"/>
  </si>
  <si>
    <t>n061701d2</t>
    <phoneticPr fontId="1"/>
  </si>
  <si>
    <t>n061902d</t>
    <phoneticPr fontId="1"/>
  </si>
  <si>
    <t>n063002d</t>
    <phoneticPr fontId="1"/>
  </si>
  <si>
    <t>n071001t1</t>
    <phoneticPr fontId="1"/>
  </si>
  <si>
    <t>n071401t1</t>
    <phoneticPr fontId="1"/>
  </si>
  <si>
    <t>n071502d</t>
    <phoneticPr fontId="1"/>
  </si>
  <si>
    <t>n071502t1</t>
    <phoneticPr fontId="1"/>
  </si>
  <si>
    <t>n072302d</t>
    <phoneticPr fontId="1"/>
  </si>
  <si>
    <t>n072401t1</t>
    <phoneticPr fontId="1"/>
  </si>
  <si>
    <t>n072602d</t>
    <phoneticPr fontId="1"/>
  </si>
  <si>
    <t>n080201t1</t>
    <phoneticPr fontId="1"/>
  </si>
  <si>
    <t>n080501t1</t>
    <phoneticPr fontId="1"/>
  </si>
  <si>
    <t>n081001t1</t>
    <phoneticPr fontId="1"/>
  </si>
  <si>
    <t>n081201t1</t>
    <phoneticPr fontId="1"/>
  </si>
  <si>
    <t>n081202d</t>
    <phoneticPr fontId="1"/>
  </si>
  <si>
    <t>n081402d</t>
    <phoneticPr fontId="1"/>
  </si>
  <si>
    <t>n081702d</t>
    <phoneticPr fontId="1"/>
  </si>
  <si>
    <t>n081702t1</t>
    <phoneticPr fontId="1"/>
  </si>
  <si>
    <t>n081801t1</t>
    <phoneticPr fontId="1"/>
  </si>
  <si>
    <t>n081901t1</t>
    <phoneticPr fontId="1"/>
  </si>
  <si>
    <t>n082002d</t>
    <phoneticPr fontId="1"/>
  </si>
  <si>
    <t>n082301t1</t>
    <phoneticPr fontId="1"/>
  </si>
  <si>
    <t>n082501t1</t>
    <phoneticPr fontId="1"/>
  </si>
  <si>
    <t>n082701t1</t>
    <phoneticPr fontId="1"/>
  </si>
  <si>
    <t>n082801t1</t>
    <phoneticPr fontId="1"/>
  </si>
  <si>
    <t>n082802d</t>
    <phoneticPr fontId="1"/>
  </si>
  <si>
    <t>n082802t1</t>
    <phoneticPr fontId="1"/>
  </si>
  <si>
    <t>★1990年の今日8/28 18:05、H-Iロケット7号機で放送衛星ゆり3号aが打ち上げられました。</t>
    <phoneticPr fontId="1"/>
  </si>
  <si>
    <t>誤記修正</t>
    <rPh sb="0" eb="2">
      <t>ゴキ</t>
    </rPh>
    <rPh sb="2" eb="4">
      <t>シュウセイ</t>
    </rPh>
    <phoneticPr fontId="1"/>
  </si>
  <si>
    <t>n082901t1</t>
    <phoneticPr fontId="1"/>
  </si>
  <si>
    <t>n083001t1</t>
    <phoneticPr fontId="1"/>
  </si>
  <si>
    <t>n090301t1</t>
    <phoneticPr fontId="1"/>
  </si>
  <si>
    <t>n090502d</t>
    <phoneticPr fontId="1"/>
  </si>
  <si>
    <t>n090502t1</t>
    <phoneticPr fontId="1"/>
  </si>
  <si>
    <t>n090901t1</t>
    <phoneticPr fontId="1"/>
  </si>
  <si>
    <t>n091002d</t>
    <phoneticPr fontId="1"/>
  </si>
  <si>
    <t>n091003d</t>
    <phoneticPr fontId="1"/>
  </si>
  <si>
    <t>09/10 07:01:00</t>
    <phoneticPr fontId="1"/>
  </si>
  <si>
    <t>09/10 07:02:00</t>
    <phoneticPr fontId="1"/>
  </si>
  <si>
    <t>n091001t1</t>
    <phoneticPr fontId="1"/>
  </si>
  <si>
    <t>n091003t1</t>
    <phoneticPr fontId="1"/>
  </si>
  <si>
    <t>n091102d</t>
    <phoneticPr fontId="1"/>
  </si>
  <si>
    <t>n091102t1</t>
    <phoneticPr fontId="1"/>
  </si>
  <si>
    <t>n091101t1</t>
    <phoneticPr fontId="1"/>
  </si>
  <si>
    <t>09/11 07:01:00</t>
    <phoneticPr fontId="1"/>
  </si>
  <si>
    <t>n091401t1</t>
    <phoneticPr fontId="1"/>
  </si>
  <si>
    <t>n091402d</t>
    <phoneticPr fontId="1"/>
  </si>
  <si>
    <t>n091402t1</t>
    <phoneticPr fontId="1"/>
  </si>
  <si>
    <t>09/16 07:01:00</t>
    <phoneticPr fontId="1"/>
  </si>
  <si>
    <t>n091602d</t>
    <phoneticPr fontId="1"/>
  </si>
  <si>
    <t>n091601t1</t>
    <phoneticPr fontId="1"/>
  </si>
  <si>
    <t>n091602t1</t>
    <phoneticPr fontId="1"/>
  </si>
  <si>
    <t>n092201t1</t>
    <phoneticPr fontId="1"/>
  </si>
  <si>
    <t>n092202d</t>
    <phoneticPr fontId="1"/>
  </si>
  <si>
    <t>n092203d</t>
    <phoneticPr fontId="1"/>
  </si>
  <si>
    <t>n092801t1</t>
    <phoneticPr fontId="1"/>
  </si>
  <si>
    <t>n100302d</t>
    <phoneticPr fontId="1"/>
  </si>
  <si>
    <t>n100602d</t>
    <phoneticPr fontId="1"/>
  </si>
  <si>
    <t>n101202d</t>
    <phoneticPr fontId="1"/>
  </si>
  <si>
    <t>n111202d</t>
    <phoneticPr fontId="1"/>
  </si>
  <si>
    <t>n111501t1</t>
    <phoneticPr fontId="1"/>
  </si>
  <si>
    <t>n111502d</t>
    <phoneticPr fontId="1"/>
  </si>
  <si>
    <t>n112701t1</t>
    <phoneticPr fontId="1"/>
  </si>
  <si>
    <t>n112702d</t>
    <phoneticPr fontId="1"/>
  </si>
  <si>
    <t>n112801t1</t>
    <phoneticPr fontId="1"/>
  </si>
  <si>
    <t>n112901t1</t>
    <phoneticPr fontId="1"/>
  </si>
  <si>
    <t>n120302d</t>
    <phoneticPr fontId="1"/>
  </si>
  <si>
    <t>n120802d</t>
    <phoneticPr fontId="1"/>
  </si>
  <si>
    <t>n121401t1</t>
    <phoneticPr fontId="1"/>
  </si>
  <si>
    <t>n121402d</t>
    <phoneticPr fontId="1"/>
  </si>
  <si>
    <t>n121403d</t>
    <phoneticPr fontId="1"/>
  </si>
  <si>
    <t>n121502d</t>
    <phoneticPr fontId="1"/>
  </si>
  <si>
    <t>n121801t1</t>
    <phoneticPr fontId="1"/>
  </si>
  <si>
    <t>n122102d</t>
    <phoneticPr fontId="1"/>
  </si>
  <si>
    <t>n122103d</t>
    <phoneticPr fontId="1"/>
  </si>
  <si>
    <t>n030902d</t>
    <phoneticPr fontId="1"/>
  </si>
  <si>
    <t>Time</t>
    <phoneticPr fontId="1"/>
  </si>
  <si>
    <t>Text</t>
    <phoneticPr fontId="1"/>
  </si>
  <si>
    <t>Length</t>
    <phoneticPr fontId="1"/>
  </si>
  <si>
    <t>Number</t>
    <phoneticPr fontId="1"/>
  </si>
  <si>
    <t>Rocket_type</t>
    <phoneticPr fontId="1"/>
  </si>
  <si>
    <t>Rocket_number</t>
    <phoneticPr fontId="1"/>
  </si>
  <si>
    <t>Updated_date</t>
    <phoneticPr fontId="1"/>
  </si>
  <si>
    <t>Update_info</t>
    <phoneticPr fontId="1"/>
  </si>
  <si>
    <t>memo</t>
    <phoneticPr fontId="1"/>
  </si>
  <si>
    <t>J_M3S2</t>
  </si>
  <si>
    <t>J_H2B</t>
  </si>
  <si>
    <t>J_H2A</t>
  </si>
  <si>
    <t>【今日の人工衛星】1/24 2006年：ALOS[だいち] 地球観測衛星、H-IIA 8号機で10:33に打ち上げ。東日本大震災直後の被災地の観測も行っていたが、2011年4月22日に活動が停止してしまい、5月12日に運用が停止された。</t>
    <phoneticPr fontId="1"/>
  </si>
  <si>
    <t>【今日の人工衛星】2/3(UTC) 1994年：VEP[みょうじょう]H-IIロケット性能確認用ペイロード、OREX[りゅうせい]大気圏再突入実験衛星、H-II 1号機で打ち上げ</t>
    <phoneticPr fontId="1"/>
  </si>
  <si>
    <t>【今日の人工衛星】2/4 2002年：DASH[高速再突入実験機]・つばさ[民生部品・コンポーネント実証衛星] H-IIA 2号機、 1978年：EXOS-A[きょっこう]オーロラ観測、M-3H 2号機 1983年：さくら2A 静止通信衛星、N-II 3号機</t>
    <phoneticPr fontId="1"/>
  </si>
  <si>
    <t>J_H1</t>
  </si>
  <si>
    <t>J_L4S</t>
    <phoneticPr fontId="1"/>
  </si>
  <si>
    <t>J_M4S</t>
  </si>
  <si>
    <t>J_M3S</t>
  </si>
  <si>
    <t>J_M5</t>
  </si>
  <si>
    <t>J_M3C</t>
  </si>
  <si>
    <t>J_N1</t>
  </si>
  <si>
    <t>J_H2</t>
  </si>
  <si>
    <t>J_H2A</t>
    <phoneticPr fontId="1"/>
  </si>
  <si>
    <t>J_M5</t>
    <phoneticPr fontId="1"/>
  </si>
  <si>
    <t>n070301t1</t>
    <phoneticPr fontId="1"/>
  </si>
  <si>
    <t>n050901t2</t>
    <phoneticPr fontId="1"/>
  </si>
  <si>
    <t>n050901t3</t>
    <phoneticPr fontId="1"/>
  </si>
  <si>
    <t>n050901t4</t>
    <phoneticPr fontId="1"/>
  </si>
  <si>
    <t>n050901t5</t>
    <phoneticPr fontId="1"/>
  </si>
  <si>
    <t>n050901t6</t>
    <phoneticPr fontId="1"/>
  </si>
  <si>
    <t>n120301t2</t>
    <phoneticPr fontId="1"/>
  </si>
  <si>
    <t>n120301t3</t>
    <phoneticPr fontId="1"/>
  </si>
  <si>
    <t>n120301t4</t>
    <phoneticPr fontId="1"/>
  </si>
  <si>
    <t>【ハレー艦隊】1986年のハレー彗星観測するハレー艦隊は打上順にICE(1976/12/8),ヴェガ1・2、さきがけ(1985/1/7)、ジオット(7/2)、すいせい(8/18)の6機</t>
    <phoneticPr fontId="1"/>
  </si>
  <si>
    <t>【今日の人工衛星】11/28 2009年：情報収集衛星光学3号機(IGS-5A) 日本の事実上の偵察衛星の(失敗分を含めて)8機目。分解能は60cm級とされる。H-IIAロケット16号機で打上。2017年9月に運用停止。 https://www.cas.go.jp/jp/houdou/pdf/170915satellite.pdf</t>
    <rPh sb="101" eb="102">
      <t>ネン</t>
    </rPh>
    <rPh sb="103" eb="104">
      <t>ガツ</t>
    </rPh>
    <rPh sb="105" eb="107">
      <t>ウンヨウ</t>
    </rPh>
    <rPh sb="107" eb="109">
      <t>テイシ</t>
    </rPh>
    <phoneticPr fontId="1"/>
  </si>
  <si>
    <t>【今日の人工衛星】9/10 (17:20打上) 2002年：こだま データ中継衛星。インド洋上の静止軌道に位置し、低軌道の衛星との高速・長時間通信を実現。278Mbpsの衛星間通信実験も成功している。2017年8月に停波。 https://www.satnavi.jaxa.jp/ja/news/2017/08/07/580/index.html</t>
    <rPh sb="104" eb="105">
      <t>ネン</t>
    </rPh>
    <rPh sb="106" eb="107">
      <t>ガツ</t>
    </rPh>
    <rPh sb="108" eb="110">
      <t>テイハ</t>
    </rPh>
    <phoneticPr fontId="1"/>
  </si>
  <si>
    <t>★2003年5月9日13時29分25秒、第20号科学衛星MUSES-C"はやぶさ"はM-Vロケット5号機により内之浦宇宙空間観測所より打ち上げられました。動画⇒https://www.youtube.com/watch?v=KCpvYn6pf8s #Hayabusa_HappyLaunchDay</t>
    <phoneticPr fontId="1"/>
  </si>
  <si>
    <t>【今日の人工衛星】3/30 1966年：DMSP 06　米国空軍の気象衛星。極軌道（太陽同期軌道）をとり気象状況を観測。1993年：SEDS-I NASAのテザー衛星(使用済み衛星を大気圏に突入させるゴミ掃除衛星)の実験機。</t>
    <phoneticPr fontId="1"/>
  </si>
  <si>
    <t>【今日の人工衛星】3/2 2004年：Rosetta 欧州宇宙機関 (ESA) の彗星探査機。2014年にチュリュモフ・ゲラシメンコ彗星を探査・着陸機も着陸。2016年に運用を終了。詳細： http://www.esa.int/SPECIALS/Rosetta/</t>
    <rPh sb="72" eb="75">
      <t>チャクリクキ</t>
    </rPh>
    <rPh sb="83" eb="84">
      <t>ネン</t>
    </rPh>
    <rPh sb="85" eb="87">
      <t>ウンヨウ</t>
    </rPh>
    <rPh sb="88" eb="90">
      <t>シュウリョウ</t>
    </rPh>
    <phoneticPr fontId="1"/>
  </si>
  <si>
    <t>★2014年の今日3時37分、H-IIAロケット23号機によりGPM主衛星が打ち上げられました。 https://www.jaxa.jp/press/2014/02/20140226_h2af23_j.html</t>
    <phoneticPr fontId="1"/>
  </si>
  <si>
    <t>【今日の人工衛星】2/23 2008年：きずな(WINDS) 超高速インターネット衛星、最大で3.2Gbpsの当時世界最高速の通信を実施した。通信が回復しないことから2019/02/27に運用を停止した https://www.jaxa.jp/press/2019/03/20190301a_j.html</t>
    <rPh sb="55" eb="57">
      <t>トウジ</t>
    </rPh>
    <rPh sb="57" eb="59">
      <t>セカイ</t>
    </rPh>
    <rPh sb="59" eb="62">
      <t>サイコウソク</t>
    </rPh>
    <rPh sb="66" eb="68">
      <t>ジッシ</t>
    </rPh>
    <rPh sb="71" eb="73">
      <t>ツウシン</t>
    </rPh>
    <rPh sb="74" eb="76">
      <t>カイフク</t>
    </rPh>
    <rPh sb="94" eb="96">
      <t>ウンヨウ</t>
    </rPh>
    <rPh sb="97" eb="99">
      <t>テイシ</t>
    </rPh>
    <phoneticPr fontId="1"/>
  </si>
  <si>
    <t>【今日の人工衛星】1/27 2000年：JAWSAT/ASUSat1他 JAWSATは複数の子衛星を射出できる衛星、アマチュア衛星を4個放出。 参考： https://www.jamsat.or.jp/oscar/jawsat/index.html</t>
    <phoneticPr fontId="1"/>
  </si>
  <si>
    <t>J_E</t>
  </si>
  <si>
    <t>J_L4S</t>
  </si>
  <si>
    <t>J_M3H</t>
  </si>
  <si>
    <t>J_N2</t>
  </si>
  <si>
    <t>【今日の人工衛星】8/30 1991年：ようこう M-3SIIロケット6号機にて打ち上げられた太陽観測衛星。その後10年3ヶ月に渡り観測を続けた。太陽活動周期(11年)に相当する連続観測は世界初。</t>
    <phoneticPr fontId="1"/>
  </si>
  <si>
    <t>失敗</t>
    <rPh sb="0" eb="2">
      <t>シッパイ</t>
    </rPh>
    <phoneticPr fontId="1"/>
  </si>
  <si>
    <t>欠番</t>
    <rPh sb="0" eb="2">
      <t>ケツバン</t>
    </rPh>
    <phoneticPr fontId="1"/>
  </si>
  <si>
    <t>J_H3</t>
    <phoneticPr fontId="1"/>
  </si>
  <si>
    <t>desc</t>
    <phoneticPr fontId="1"/>
  </si>
  <si>
    <t>cnt</t>
    <phoneticPr fontId="1"/>
  </si>
  <si>
    <t>exist</t>
    <phoneticPr fontId="1"/>
  </si>
  <si>
    <t>text</t>
    <phoneticPr fontId="1"/>
  </si>
  <si>
    <t>for_search</t>
    <phoneticPr fontId="1"/>
  </si>
  <si>
    <t xml:space="preserve"> </t>
    <phoneticPr fontId="1"/>
  </si>
  <si>
    <t>12/03 13:22:04</t>
    <phoneticPr fontId="1"/>
  </si>
  <si>
    <t>★2014年の今日12/03 13:22:04、H-IIAロケット26号機で小惑星探査機「はやぶさ2」が打ち上げられました。</t>
    <rPh sb="38" eb="41">
      <t>ショウワクセイ</t>
    </rPh>
    <rPh sb="41" eb="44">
      <t>タンサキ</t>
    </rPh>
    <phoneticPr fontId="1"/>
  </si>
  <si>
    <t>n120301t1</t>
  </si>
  <si>
    <t>n120301t1</t>
    <phoneticPr fontId="1"/>
  </si>
  <si>
    <t>行ラベル</t>
  </si>
  <si>
    <t>n010801t1</t>
  </si>
  <si>
    <t>n011502d</t>
  </si>
  <si>
    <t>n011502t1</t>
  </si>
  <si>
    <t>n012201t1</t>
  </si>
  <si>
    <t>n012302d</t>
  </si>
  <si>
    <t>n012302t1</t>
  </si>
  <si>
    <t>n012302t2</t>
  </si>
  <si>
    <t>n012302t3</t>
  </si>
  <si>
    <t>n012302t4</t>
  </si>
  <si>
    <t>n012302t5</t>
  </si>
  <si>
    <t>n012302t6</t>
  </si>
  <si>
    <t>n012302t7</t>
  </si>
  <si>
    <t>n012302t8</t>
  </si>
  <si>
    <t>n012401t1</t>
  </si>
  <si>
    <t>n012402d</t>
  </si>
  <si>
    <t>n012402t1</t>
  </si>
  <si>
    <t>n012702d</t>
  </si>
  <si>
    <t>n020201d1</t>
  </si>
  <si>
    <t>n020302d</t>
  </si>
  <si>
    <t>n020401t1</t>
  </si>
  <si>
    <t>n020401t2</t>
  </si>
  <si>
    <t>n020401t3</t>
  </si>
  <si>
    <t>n020501t1</t>
  </si>
  <si>
    <t>n020601t1</t>
  </si>
  <si>
    <t>n020702d</t>
  </si>
  <si>
    <t>n020702t1</t>
  </si>
  <si>
    <t>n021002d</t>
  </si>
  <si>
    <t>n021002t1</t>
  </si>
  <si>
    <t>n021101t1</t>
  </si>
  <si>
    <t>n021102d</t>
  </si>
  <si>
    <t>n021102t1</t>
  </si>
  <si>
    <t>n021102t2</t>
  </si>
  <si>
    <t>n021202d</t>
  </si>
  <si>
    <t>n021202t1</t>
  </si>
  <si>
    <t>n021601t1</t>
  </si>
  <si>
    <t>n021601t2</t>
  </si>
  <si>
    <t>n021602d</t>
  </si>
  <si>
    <t>n021603d</t>
  </si>
  <si>
    <t>n021702d</t>
  </si>
  <si>
    <t>n021702t1</t>
  </si>
  <si>
    <t>n021801t1</t>
  </si>
  <si>
    <t>n021802d</t>
  </si>
  <si>
    <t>n021901t1</t>
  </si>
  <si>
    <t>n021902d</t>
  </si>
  <si>
    <t>n022001t1</t>
  </si>
  <si>
    <t>n022002d</t>
  </si>
  <si>
    <t>n022002t1</t>
  </si>
  <si>
    <t>n022003d</t>
  </si>
  <si>
    <t>n022003t1</t>
  </si>
  <si>
    <t>n022003t2</t>
  </si>
  <si>
    <t>n022003t3</t>
  </si>
  <si>
    <t>n022101t1</t>
  </si>
  <si>
    <t>n022101t2</t>
  </si>
  <si>
    <t>n022102d</t>
  </si>
  <si>
    <t>n022102t1</t>
  </si>
  <si>
    <t>n022103d</t>
  </si>
  <si>
    <t>n022103t1</t>
  </si>
  <si>
    <t>n022201t1</t>
  </si>
  <si>
    <t>n022301t1</t>
  </si>
  <si>
    <t>n022302d</t>
  </si>
  <si>
    <t>n022302t1</t>
  </si>
  <si>
    <t>n022401t1</t>
  </si>
  <si>
    <t>n022402d</t>
  </si>
  <si>
    <t>n022601t1</t>
  </si>
  <si>
    <t>n022602d</t>
  </si>
  <si>
    <t>n022702d</t>
  </si>
  <si>
    <t>n022702t1</t>
  </si>
  <si>
    <t>n022901t1</t>
  </si>
  <si>
    <t>n030902d</t>
  </si>
  <si>
    <t>n031101t1</t>
  </si>
  <si>
    <t>n031801t1</t>
  </si>
  <si>
    <t>n032801t1</t>
  </si>
  <si>
    <t>n041202d</t>
  </si>
  <si>
    <t>n041302d</t>
  </si>
  <si>
    <t>n041602d</t>
  </si>
  <si>
    <t>n042802d</t>
  </si>
  <si>
    <t>n050901t1</t>
  </si>
  <si>
    <t>n050901t2</t>
  </si>
  <si>
    <t>n050901t3</t>
  </si>
  <si>
    <t>n050901t4</t>
  </si>
  <si>
    <t>n050901t5</t>
  </si>
  <si>
    <t>n050901t6</t>
  </si>
  <si>
    <t>n051402d</t>
  </si>
  <si>
    <t>n052001t1</t>
  </si>
  <si>
    <t>n052001t2</t>
  </si>
  <si>
    <t>n052001t3</t>
  </si>
  <si>
    <t>n052001t4</t>
  </si>
  <si>
    <t>n052001t5</t>
  </si>
  <si>
    <t>n052002d</t>
  </si>
  <si>
    <t>n052002t1</t>
  </si>
  <si>
    <t>n053002d</t>
  </si>
  <si>
    <t>n053101t1</t>
  </si>
  <si>
    <t>n060202d</t>
  </si>
  <si>
    <t>n060203d</t>
  </si>
  <si>
    <t>n060802d</t>
  </si>
  <si>
    <t>n061202d</t>
  </si>
  <si>
    <t>n061203d</t>
  </si>
  <si>
    <t>n061502d</t>
  </si>
  <si>
    <t>n061701d1</t>
  </si>
  <si>
    <t>n061701d2</t>
  </si>
  <si>
    <t>n061902d</t>
  </si>
  <si>
    <t>n063002d</t>
  </si>
  <si>
    <t>n070301t1</t>
  </si>
  <si>
    <t>n071001t1</t>
  </si>
  <si>
    <t>n071401t1</t>
  </si>
  <si>
    <t>n071502d</t>
  </si>
  <si>
    <t>n071502t1</t>
  </si>
  <si>
    <t>n072302d</t>
  </si>
  <si>
    <t>n072401t1</t>
  </si>
  <si>
    <t>n072602d</t>
  </si>
  <si>
    <t>n080201t1</t>
  </si>
  <si>
    <t>n080501t1</t>
  </si>
  <si>
    <t>n081001t1</t>
  </si>
  <si>
    <t>n081201t1</t>
  </si>
  <si>
    <t>n081202d</t>
  </si>
  <si>
    <t>n081402d</t>
  </si>
  <si>
    <t>n081702d</t>
  </si>
  <si>
    <t>n081702t1</t>
  </si>
  <si>
    <t>n081801t1</t>
  </si>
  <si>
    <t>n081901t1</t>
  </si>
  <si>
    <t>n082002d</t>
  </si>
  <si>
    <t>n082301t1</t>
  </si>
  <si>
    <t>n082501t1</t>
  </si>
  <si>
    <t>n082701t1</t>
  </si>
  <si>
    <t>n082801t1</t>
  </si>
  <si>
    <t>n082802d</t>
  </si>
  <si>
    <t>n082802t1</t>
  </si>
  <si>
    <t>n082901t1</t>
  </si>
  <si>
    <t>n083001t1</t>
  </si>
  <si>
    <t>n090301t1</t>
  </si>
  <si>
    <t>n090502d</t>
  </si>
  <si>
    <t>n090502t1</t>
  </si>
  <si>
    <t>n090901t1</t>
  </si>
  <si>
    <t>n091001t1</t>
  </si>
  <si>
    <t>n091002d</t>
  </si>
  <si>
    <t>n091003d</t>
  </si>
  <si>
    <t>n091003t1</t>
  </si>
  <si>
    <t>n091101t1</t>
  </si>
  <si>
    <t>n091102d</t>
  </si>
  <si>
    <t>n091102t1</t>
  </si>
  <si>
    <t>n091401t1</t>
  </si>
  <si>
    <t>n091402d</t>
  </si>
  <si>
    <t>n091402t1</t>
  </si>
  <si>
    <t>n091601t1</t>
  </si>
  <si>
    <t>n091602d</t>
  </si>
  <si>
    <t>n091602t1</t>
  </si>
  <si>
    <t>n092201t1</t>
  </si>
  <si>
    <t>n092202d</t>
  </si>
  <si>
    <t>n092203d</t>
  </si>
  <si>
    <t>n092801t1</t>
  </si>
  <si>
    <t>n100302d</t>
  </si>
  <si>
    <t>n100602d</t>
  </si>
  <si>
    <t>n101202d</t>
  </si>
  <si>
    <t>n111202d</t>
  </si>
  <si>
    <t>n111501t1</t>
  </si>
  <si>
    <t>n111502d</t>
  </si>
  <si>
    <t>n112701t1</t>
  </si>
  <si>
    <t>n112702d</t>
  </si>
  <si>
    <t>n112801t1</t>
  </si>
  <si>
    <t>n112901t1</t>
  </si>
  <si>
    <t>n120301t2</t>
  </si>
  <si>
    <t>n120301t3</t>
  </si>
  <si>
    <t>n120301t4</t>
  </si>
  <si>
    <t>n120302d</t>
  </si>
  <si>
    <t>n120802d</t>
  </si>
  <si>
    <t>n121401t1</t>
  </si>
  <si>
    <t>n121402d</t>
  </si>
  <si>
    <t>n121403d</t>
  </si>
  <si>
    <t>n121502d</t>
  </si>
  <si>
    <t>n121801t1</t>
  </si>
  <si>
    <t>n122102d</t>
  </si>
  <si>
    <t>n122103d</t>
  </si>
  <si>
    <t>(空白)</t>
  </si>
  <si>
    <t>総計</t>
  </si>
  <si>
    <t>個数 / Number</t>
  </si>
  <si>
    <t>n030702d</t>
    <phoneticPr fontId="1"/>
  </si>
  <si>
    <t>n030702t1</t>
    <phoneticPr fontId="1"/>
  </si>
  <si>
    <t>03/07 07:01:00</t>
    <phoneticPr fontId="1"/>
  </si>
  <si>
    <t>【今日の人工衛星】3/7 2023年：ALOS-3/H3ロケット初号機 第2段エンジンが起動せず打上が失敗。原因を3つまで絞り込んだ対策により、翌2024年2月17日の2号機打ち上げは成功した。</t>
    <rPh sb="32" eb="33">
      <t>ショ</t>
    </rPh>
    <rPh sb="36" eb="37">
      <t>ダイ</t>
    </rPh>
    <rPh sb="37" eb="39">
      <t>ニダン</t>
    </rPh>
    <rPh sb="44" eb="46">
      <t>キドウ</t>
    </rPh>
    <rPh sb="54" eb="56">
      <t>ゲンイン</t>
    </rPh>
    <rPh sb="61" eb="62">
      <t>シボ</t>
    </rPh>
    <rPh sb="63" eb="64">
      <t>コ</t>
    </rPh>
    <rPh sb="66" eb="68">
      <t>タイサク</t>
    </rPh>
    <rPh sb="72" eb="73">
      <t>ヨク</t>
    </rPh>
    <rPh sb="77" eb="78">
      <t>ネン</t>
    </rPh>
    <rPh sb="79" eb="80">
      <t>ガツ</t>
    </rPh>
    <rPh sb="82" eb="83">
      <t>ニチ</t>
    </rPh>
    <rPh sb="85" eb="87">
      <t>ゴウキ</t>
    </rPh>
    <rPh sb="87" eb="88">
      <t>ウ</t>
    </rPh>
    <rPh sb="89" eb="90">
      <t>ア</t>
    </rPh>
    <rPh sb="92" eb="94">
      <t>セイコウ</t>
    </rPh>
    <phoneticPr fontId="1"/>
  </si>
  <si>
    <t>03/07 10:37:55</t>
    <phoneticPr fontId="1"/>
  </si>
  <si>
    <t>★2023年の今日3/7 10:37:55、H3ロケット試験機初号機によって行われたALOS-3の打ち上げは、2段目エンジンが起動せず失敗。原因を3つまで絞り込んだ対策により、翌2024年2月17日の2号機打ち上げは成功した。</t>
    <rPh sb="28" eb="31">
      <t>シケンキ</t>
    </rPh>
    <rPh sb="56" eb="58">
      <t>ダンメ</t>
    </rPh>
    <rPh sb="63" eb="65">
      <t>キドウ</t>
    </rPh>
    <phoneticPr fontId="1"/>
  </si>
  <si>
    <t>02/17 07:02:00</t>
    <phoneticPr fontId="1"/>
  </si>
  <si>
    <t>02/17 09:22:55</t>
    <phoneticPr fontId="1"/>
  </si>
  <si>
    <t>【今日の人工衛星】2/17 2024年：ロケット性能確認用ペイロード（VEP-4） + CE-SAT-IE + TIRSAT H3ロケット2号機の打ち上げ性能・失敗の再発防止策の検証を目的とした打ち上げ。無事に成功し副衛星2機を軌道投入した。</t>
    <rPh sb="70" eb="72">
      <t>ゴウキ</t>
    </rPh>
    <rPh sb="80" eb="82">
      <t>シッパイ</t>
    </rPh>
    <rPh sb="83" eb="85">
      <t>サイハツ</t>
    </rPh>
    <rPh sb="85" eb="87">
      <t>ボウシ</t>
    </rPh>
    <rPh sb="87" eb="88">
      <t>サク</t>
    </rPh>
    <rPh sb="89" eb="91">
      <t>ケンショウ</t>
    </rPh>
    <rPh sb="97" eb="98">
      <t>ウ</t>
    </rPh>
    <rPh sb="99" eb="100">
      <t>ア</t>
    </rPh>
    <rPh sb="102" eb="104">
      <t>ブジ</t>
    </rPh>
    <rPh sb="105" eb="107">
      <t>セイコウ</t>
    </rPh>
    <rPh sb="108" eb="109">
      <t>フク</t>
    </rPh>
    <rPh sb="109" eb="111">
      <t>エイセイ</t>
    </rPh>
    <rPh sb="112" eb="113">
      <t>キ</t>
    </rPh>
    <rPh sb="114" eb="116">
      <t>キドウ</t>
    </rPh>
    <rPh sb="116" eb="118">
      <t>トウニュウ</t>
    </rPh>
    <phoneticPr fontId="1"/>
  </si>
  <si>
    <t>n021703d</t>
    <phoneticPr fontId="1"/>
  </si>
  <si>
    <t>n021703t1</t>
    <phoneticPr fontId="1"/>
  </si>
  <si>
    <t>★2024年の今日2/17 9:22:55、H3ロケット2号機でロケット性能確認用ペイロード（VEP-4）・CE-SAT-IE・TIRSATが打ち上げられました。</t>
    <phoneticPr fontId="1"/>
  </si>
  <si>
    <t>n082602t3</t>
    <phoneticPr fontId="1"/>
  </si>
  <si>
    <t>n082602t2</t>
    <phoneticPr fontId="1"/>
  </si>
  <si>
    <t>01/20 00:20:00</t>
    <phoneticPr fontId="1"/>
  </si>
  <si>
    <t>★2024年の今日1/20 00:20ごろ、小型月着陸実証機(SLIM)が月面に着陸しました。スラスタの不具合により想定とは異なる着陸形態になり発電がされない状態になりましたが、1/28に発電が始まり、所期の通信・観測などに成功しました。</t>
    <rPh sb="37" eb="39">
      <t>ゲツメン</t>
    </rPh>
    <rPh sb="40" eb="42">
      <t>チャクリク</t>
    </rPh>
    <rPh sb="52" eb="55">
      <t>フグアイ</t>
    </rPh>
    <rPh sb="58" eb="60">
      <t>ソウテイ</t>
    </rPh>
    <rPh sb="62" eb="63">
      <t>コト</t>
    </rPh>
    <rPh sb="65" eb="67">
      <t>チャクリク</t>
    </rPh>
    <rPh sb="67" eb="69">
      <t>ケイタイ</t>
    </rPh>
    <rPh sb="72" eb="74">
      <t>ハツデン</t>
    </rPh>
    <rPh sb="79" eb="81">
      <t>ジョウタイ</t>
    </rPh>
    <rPh sb="94" eb="96">
      <t>ハツデン</t>
    </rPh>
    <rPh sb="97" eb="98">
      <t>ハジ</t>
    </rPh>
    <rPh sb="101" eb="103">
      <t>ショキ</t>
    </rPh>
    <rPh sb="104" eb="106">
      <t>ツウシン</t>
    </rPh>
    <rPh sb="107" eb="109">
      <t>カンソク</t>
    </rPh>
    <rPh sb="112" eb="114">
      <t>セイコウ</t>
    </rPh>
    <phoneticPr fontId="1"/>
  </si>
  <si>
    <t>02/25 19:00:00</t>
    <phoneticPr fontId="1"/>
  </si>
  <si>
    <t>★2024年の今日2/25 19時過ぎ、小型月着陸実証機(SLIM)からの通信が再開しました。越夜を想定していないにもかかわらず、月の夜を越えて稼働しました。越夜に成功したのは、アメリカ・旧ソ連・中国に続く4ヶ国目です。</t>
    <rPh sb="16" eb="17">
      <t>ジ</t>
    </rPh>
    <rPh sb="17" eb="18">
      <t>ス</t>
    </rPh>
    <rPh sb="37" eb="39">
      <t>ツウシン</t>
    </rPh>
    <rPh sb="40" eb="42">
      <t>サイカイ</t>
    </rPh>
    <rPh sb="47" eb="49">
      <t>エツヤ</t>
    </rPh>
    <rPh sb="50" eb="52">
      <t>ソウテイ</t>
    </rPh>
    <rPh sb="65" eb="66">
      <t>ツキ</t>
    </rPh>
    <rPh sb="67" eb="68">
      <t>ヨル</t>
    </rPh>
    <rPh sb="69" eb="70">
      <t>コ</t>
    </rPh>
    <rPh sb="72" eb="74">
      <t>カドウ</t>
    </rPh>
    <rPh sb="79" eb="81">
      <t>エツヤ</t>
    </rPh>
    <rPh sb="82" eb="84">
      <t>セイコウ</t>
    </rPh>
    <rPh sb="94" eb="95">
      <t>キュウ</t>
    </rPh>
    <rPh sb="96" eb="97">
      <t>レン</t>
    </rPh>
    <rPh sb="98" eb="100">
      <t>チュウゴク</t>
    </rPh>
    <rPh sb="101" eb="102">
      <t>ツヅ</t>
    </rPh>
    <rPh sb="105" eb="106">
      <t>コク</t>
    </rPh>
    <rPh sb="106" eb="107">
      <t>メ</t>
    </rPh>
    <phoneticPr fontId="1"/>
  </si>
  <si>
    <t>【今日の人工衛星】3/6 1989年：JCSAT-1 日本通信衛星株式会社(JSAT)が打ち上げた通信衛星。日本及びアジア・太平洋地域で利用が可能。1997年にはJCSAT-1Aに役割を譲った https://web.archive.org/web/19981206225221/http://www.iijnet.or.jp/JSAT/satellite/jcsat4/index.html</t>
    <rPh sb="78" eb="79">
      <t>ネン</t>
    </rPh>
    <rPh sb="90" eb="92">
      <t>ヤクワリ</t>
    </rPh>
    <rPh sb="93" eb="94">
      <t>ユズ</t>
    </rPh>
    <phoneticPr fontId="1"/>
  </si>
  <si>
    <t>BlueskyのURL投稿対応を確認するために急ぎURL付きに内容を加筆</t>
    <rPh sb="11" eb="13">
      <t>トウコウ</t>
    </rPh>
    <rPh sb="13" eb="15">
      <t>タイオウ</t>
    </rPh>
    <rPh sb="16" eb="18">
      <t>カクニン</t>
    </rPh>
    <rPh sb="23" eb="24">
      <t>イソ</t>
    </rPh>
    <rPh sb="28" eb="29">
      <t>ツ</t>
    </rPh>
    <rPh sb="31" eb="33">
      <t>ナイヨウ</t>
    </rPh>
    <rPh sb="34" eb="36">
      <t>カヒツ</t>
    </rPh>
    <phoneticPr fontId="1"/>
  </si>
  <si>
    <t>03/06 07:00:00</t>
    <phoneticPr fontId="1"/>
  </si>
  <si>
    <t>【今日の人工衛星】3/8 2002年：TDRS-9 NASAの打ち上げた、データ中継衛星の第2世代の2号機。2023年に運用を終了した。 https://www.nasa.gov/general/nasas-tracking-and-data-relay-satellite-9-reaches-end-of-mission/ 現在までに13機が打ち上げられ過半が長期運用中（2号機はスペースシャトル・チャレンジャー事故で喪失、1,4,9号機が退役、3,5号機は待機運用）</t>
    <rPh sb="58" eb="59">
      <t>ネン</t>
    </rPh>
    <rPh sb="60" eb="62">
      <t>ウンヨウ</t>
    </rPh>
    <rPh sb="63" eb="65">
      <t>シュウリョウ</t>
    </rPh>
    <rPh sb="179" eb="181">
      <t>カハン</t>
    </rPh>
    <rPh sb="182" eb="184">
      <t>チョウキ</t>
    </rPh>
    <rPh sb="184" eb="187">
      <t>ウンヨウチュウ</t>
    </rPh>
    <rPh sb="189" eb="191">
      <t>ゴウキ</t>
    </rPh>
    <rPh sb="208" eb="210">
      <t>ジコ</t>
    </rPh>
    <rPh sb="211" eb="213">
      <t>ソウシツ</t>
    </rPh>
    <rPh sb="219" eb="221">
      <t>ゴウキ</t>
    </rPh>
    <rPh sb="222" eb="224">
      <t>タイエキ</t>
    </rPh>
    <rPh sb="228" eb="230">
      <t>ゴウキ</t>
    </rPh>
    <rPh sb="231" eb="233">
      <t>タイキ</t>
    </rPh>
    <rPh sb="233" eb="235">
      <t>ウンヨウ</t>
    </rPh>
    <phoneticPr fontId="1"/>
  </si>
  <si>
    <t>運用終了を追記（2023/03に何故分からなかったのだろうか…）</t>
    <rPh sb="0" eb="2">
      <t>ウンヨウ</t>
    </rPh>
    <rPh sb="2" eb="4">
      <t>シュウリョウ</t>
    </rPh>
    <rPh sb="5" eb="7">
      <t>ツイキ</t>
    </rPh>
    <rPh sb="16" eb="18">
      <t>ナゼ</t>
    </rPh>
    <rPh sb="18" eb="19">
      <t>ワ</t>
    </rPh>
    <phoneticPr fontId="1"/>
  </si>
  <si>
    <t>02/03 07:02:00</t>
    <phoneticPr fontId="1"/>
  </si>
  <si>
    <t>n020303d</t>
    <phoneticPr fontId="1"/>
  </si>
  <si>
    <t>J_SS520</t>
    <phoneticPr fontId="1"/>
  </si>
  <si>
    <t xml:space="preserve">【今日の人工衛星】2/3   2018年：TRICOM-1R （たすき） SS-520   5号機により打ち上げ。SS-520は観測ロケットであったが、超小型衛星打ち上げ機への転用能力実証のため打ち上げられ、ギネス記録「実際に人工衛星を打ち上げた史上最小のロケット」に認定された    https://www.jaxa.jp/press/2018/04/20180427_guinness_j.html </t>
    <phoneticPr fontId="1"/>
  </si>
  <si>
    <t>02/03 14:03:00</t>
    <phoneticPr fontId="1"/>
  </si>
  <si>
    <t>時刻はこちら https://www.jaxa.jp/press/2018/02/20180203_ss-520-5_j.html</t>
    <rPh sb="0" eb="2">
      <t>ジコク</t>
    </rPh>
    <phoneticPr fontId="1"/>
  </si>
  <si>
    <t>n020303t1</t>
    <phoneticPr fontId="1"/>
  </si>
  <si>
    <t xml:space="preserve">★2018年の今日2/3 14:03:00、SS-520ロケット5号機によりTRICOM-1R（たすき）が打ち上げられました。この打ち上げは、のちにギネス記録「実際に人工衛星を打ち上げた史上最小のロケット」に認定されました。 https://www.jaxa.jp/press/2018/04/20180427_guinness_j.html </t>
    <rPh sb="33" eb="35">
      <t>ゴウキ</t>
    </rPh>
    <rPh sb="65" eb="66">
      <t>ウ</t>
    </rPh>
    <rPh sb="67" eb="68">
      <t>ア</t>
    </rPh>
    <phoneticPr fontId="1"/>
  </si>
  <si>
    <t>★2020年の今日5/21 2:31:00、H-IIBロケット9号機で宇宙ステーション補給機こうのとり9号機(HTV-9)が打ち上げられました。打ち上げ前には、新型コロナウイルス感染症に対応する医療従事者などへの感謝を込めたライトアップも行われました。</t>
    <rPh sb="80" eb="82">
      <t>シンガタ</t>
    </rPh>
    <rPh sb="89" eb="92">
      <t>カンセンショウ</t>
    </rPh>
    <rPh sb="119" eb="120">
      <t>オコナ</t>
    </rPh>
    <phoneticPr fontId="1"/>
  </si>
  <si>
    <t>07/01 07:01:00</t>
    <phoneticPr fontId="1"/>
  </si>
  <si>
    <t>n070102d</t>
    <phoneticPr fontId="1"/>
  </si>
  <si>
    <t>n070102t1</t>
    <phoneticPr fontId="1"/>
  </si>
  <si>
    <t>07/01 12:06:42</t>
    <phoneticPr fontId="1"/>
  </si>
  <si>
    <t>【今日の人工衛星】7/1 2024年：先進レーダ衛星「だいち4号」(ALOS-4)　H3ロケット3号機で打ち上げ。先代のだいち2号（ALOS-2）の後を引き継ぎ、より強化されたLバンド合成開口レーダにより、地球を観測する</t>
    <rPh sb="52" eb="53">
      <t>ウ</t>
    </rPh>
    <rPh sb="54" eb="55">
      <t>ア</t>
    </rPh>
    <rPh sb="57" eb="59">
      <t>センダイ</t>
    </rPh>
    <rPh sb="64" eb="65">
      <t>ゴウ</t>
    </rPh>
    <rPh sb="74" eb="75">
      <t>アト</t>
    </rPh>
    <rPh sb="76" eb="77">
      <t>ヒ</t>
    </rPh>
    <rPh sb="78" eb="79">
      <t>ツ</t>
    </rPh>
    <rPh sb="83" eb="85">
      <t>キョウカ</t>
    </rPh>
    <phoneticPr fontId="1"/>
  </si>
  <si>
    <t>★2024年の今日7/1 12:06:42、H3ロケット3号機で、先進レーダ衛星「だいち4号」(ALOS-4)が打ち上げられました。H3ロケット初の実用ペイロードの打ち上げです。</t>
    <rPh sb="29" eb="31">
      <t>ゴウキ</t>
    </rPh>
    <rPh sb="72" eb="73">
      <t>ハツ</t>
    </rPh>
    <rPh sb="74" eb="76">
      <t>ジツヨウ</t>
    </rPh>
    <rPh sb="82" eb="83">
      <t>ウ</t>
    </rPh>
    <rPh sb="84" eb="85">
      <t>ア</t>
    </rPh>
    <phoneticPr fontId="1"/>
  </si>
  <si>
    <t>09/07 07:01:00</t>
    <phoneticPr fontId="1"/>
  </si>
  <si>
    <t>【今日の人工衛星】9/7 2023年：X線天文衛星代替機(XRISM)、小型月着陸実証機(SLIM) XRISMは、喪失したASTRO-Hの代替機として、期待された科学的成果を上げている。SLIMは、日本発の月面探査機として、ピンポイント着陸を含む様々な世界初の成果を上げた。</t>
    <rPh sb="58" eb="60">
      <t>ソウシツ</t>
    </rPh>
    <rPh sb="70" eb="73">
      <t>ダイタイキ</t>
    </rPh>
    <rPh sb="77" eb="79">
      <t>キタイ</t>
    </rPh>
    <rPh sb="82" eb="85">
      <t>カガクテキ</t>
    </rPh>
    <rPh sb="85" eb="87">
      <t>セイカ</t>
    </rPh>
    <rPh sb="88" eb="89">
      <t>ア</t>
    </rPh>
    <rPh sb="100" eb="102">
      <t>ニホン</t>
    </rPh>
    <rPh sb="102" eb="103">
      <t>ハツ</t>
    </rPh>
    <rPh sb="104" eb="106">
      <t>ゲツメン</t>
    </rPh>
    <rPh sb="106" eb="109">
      <t>タンサキ</t>
    </rPh>
    <rPh sb="119" eb="121">
      <t>チャクリク</t>
    </rPh>
    <rPh sb="122" eb="123">
      <t>フク</t>
    </rPh>
    <rPh sb="124" eb="126">
      <t>サマザマ</t>
    </rPh>
    <rPh sb="127" eb="130">
      <t>セカイハツ</t>
    </rPh>
    <rPh sb="131" eb="133">
      <t>セイカ</t>
    </rPh>
    <rPh sb="134" eb="135">
      <t>ア</t>
    </rPh>
    <phoneticPr fontId="1"/>
  </si>
  <si>
    <t>09/07 08:42:11</t>
    <phoneticPr fontId="1"/>
  </si>
  <si>
    <t>★2023年の今日9/7 08:42:11、H-IIAロケット47号機でX線天文衛星代替機(XRISM)と小型月着陸実証機(SLIM)が打ち上げられました。</t>
    <phoneticPr fontId="1"/>
  </si>
  <si>
    <t>n090702d</t>
    <phoneticPr fontId="1"/>
  </si>
  <si>
    <t>n090702t1</t>
    <phoneticPr fontId="1"/>
  </si>
  <si>
    <t>日付修正</t>
    <rPh sb="0" eb="2">
      <t>ヒヅケ</t>
    </rPh>
    <rPh sb="2" eb="4">
      <t>シュウセイ</t>
    </rPh>
    <phoneticPr fontId="1"/>
  </si>
  <si>
    <t>【今日の人工衛星】7/10 2005年：すざく あすかに続く5機目の日本のX線天文衛星であり、2000年に打ち上げ失敗したASTRO-Eの代替機。液体ヘリウム喪失事故があったものの、2015年6月まで運用は継続された。2025年1月に大気圏再突入。</t>
    <rPh sb="95" eb="96">
      <t>ネン</t>
    </rPh>
    <rPh sb="97" eb="98">
      <t>ガツ</t>
    </rPh>
    <rPh sb="100" eb="102">
      <t>ウンヨウ</t>
    </rPh>
    <rPh sb="103" eb="105">
      <t>ケイゾク</t>
    </rPh>
    <rPh sb="113" eb="114">
      <t>ネン</t>
    </rPh>
    <rPh sb="115" eb="116">
      <t>ガツ</t>
    </rPh>
    <rPh sb="117" eb="120">
      <t>タイキケン</t>
    </rPh>
    <rPh sb="120" eb="123">
      <t>サイトツニュウ</t>
    </rPh>
    <phoneticPr fontId="1"/>
  </si>
  <si>
    <t>★2005年の今日、7月10日12:30にX線天文衛星「すざく」がM-Vロケット6号機により打ち上げ。5機目の日本のX線天文衛星、液体ヘリウム喪失事故があったものの、優れた観測能力を10年間発揮していた。2025年1月に大気圏再突入。</t>
    <rPh sb="93" eb="95">
      <t>ネンカン</t>
    </rPh>
    <phoneticPr fontId="1"/>
  </si>
  <si>
    <t>加筆</t>
    <rPh sb="0" eb="2">
      <t>カヒツ</t>
    </rPh>
    <phoneticPr fontId="1"/>
  </si>
  <si>
    <t>大気圏再突入を加筆 https://www.isas.jaxa.jp/topics/003915.html</t>
    <rPh sb="0" eb="6">
      <t>タイキケンサイトツニュウ</t>
    </rPh>
    <rPh sb="7" eb="9">
      <t>カヒツ</t>
    </rPh>
    <phoneticPr fontId="1"/>
  </si>
  <si>
    <t>記事 https://sorae.info/ssn/20241231-starlink-g12-6.html</t>
    <rPh sb="0" eb="2">
      <t>キジ</t>
    </rPh>
    <phoneticPr fontId="1"/>
  </si>
  <si>
    <t>大きく修正</t>
    <rPh sb="0" eb="1">
      <t>オオ</t>
    </rPh>
    <rPh sb="3" eb="5">
      <t>シュウセイ</t>
    </rPh>
    <phoneticPr fontId="1"/>
  </si>
  <si>
    <t>【今日の人工衛星】12/31 2024年：スターリンク衛星 グループ12-6 米国SpaceX社の通信サービスStarlinkに使う衛星の追加打ち上げ。ファルコン9ロケットにより、V2 Mini衛星を21機投入。携帯電話と直接通信できる機能を持つ衛星も含まれる。</t>
    <rPh sb="19" eb="20">
      <t>ネン</t>
    </rPh>
    <rPh sb="27" eb="29">
      <t>エイセイ</t>
    </rPh>
    <rPh sb="39" eb="41">
      <t>ベイコク</t>
    </rPh>
    <rPh sb="47" eb="48">
      <t>シャ</t>
    </rPh>
    <rPh sb="49" eb="51">
      <t>ツウシン</t>
    </rPh>
    <rPh sb="64" eb="65">
      <t>ツカ</t>
    </rPh>
    <rPh sb="66" eb="68">
      <t>エイセイ</t>
    </rPh>
    <rPh sb="69" eb="71">
      <t>ツイカ</t>
    </rPh>
    <rPh sb="71" eb="72">
      <t>ウ</t>
    </rPh>
    <rPh sb="73" eb="74">
      <t>ア</t>
    </rPh>
    <rPh sb="97" eb="99">
      <t>エイセイ</t>
    </rPh>
    <rPh sb="102" eb="103">
      <t>キ</t>
    </rPh>
    <rPh sb="103" eb="105">
      <t>トウニュウ</t>
    </rPh>
    <rPh sb="106" eb="108">
      <t>ケイタイ</t>
    </rPh>
    <rPh sb="108" eb="110">
      <t>デンワ</t>
    </rPh>
    <rPh sb="111" eb="113">
      <t>チョクセツ</t>
    </rPh>
    <rPh sb="113" eb="115">
      <t>ツウシン</t>
    </rPh>
    <rPh sb="118" eb="120">
      <t>キノウ</t>
    </rPh>
    <rPh sb="121" eb="122">
      <t>モ</t>
    </rPh>
    <rPh sb="123" eb="125">
      <t>エイセイ</t>
    </rPh>
    <rPh sb="126" eb="127">
      <t>フク</t>
    </rPh>
    <phoneticPr fontId="1"/>
  </si>
  <si>
    <t>J_H3</t>
  </si>
  <si>
    <t>02/02 17:30:00</t>
    <phoneticPr fontId="1"/>
  </si>
  <si>
    <t>n020202d</t>
    <phoneticPr fontId="1"/>
  </si>
  <si>
    <t>n020202t1</t>
    <phoneticPr fontId="1"/>
  </si>
  <si>
    <t>【今日の人工衛星】2/2 2025年：「みちびき6号機」（準天頂衛星）(QZS-6)　H3ロケット5号機で打ち上げ。準天頂衛星システムの強化のため追加される3機の衛星の1つで、みちびき3号とおなじ静止軌道に投入される。</t>
    <rPh sb="53" eb="54">
      <t>ウ</t>
    </rPh>
    <rPh sb="55" eb="56">
      <t>ア</t>
    </rPh>
    <rPh sb="58" eb="63">
      <t>ジュンテンチョウエイセイ</t>
    </rPh>
    <rPh sb="68" eb="70">
      <t>キョウカ</t>
    </rPh>
    <rPh sb="73" eb="75">
      <t>ツイカ</t>
    </rPh>
    <rPh sb="79" eb="80">
      <t>キ</t>
    </rPh>
    <rPh sb="81" eb="83">
      <t>エイセイ</t>
    </rPh>
    <rPh sb="93" eb="94">
      <t>ゴウ</t>
    </rPh>
    <rPh sb="98" eb="100">
      <t>セイシ</t>
    </rPh>
    <rPh sb="100" eb="102">
      <t>キドウ</t>
    </rPh>
    <rPh sb="103" eb="105">
      <t>トウニュウ</t>
    </rPh>
    <phoneticPr fontId="1"/>
  </si>
  <si>
    <t>★2025年の今日2/2 17:30:00、H3ロケット5号機で、「みちびき6号機」（準天頂衛星）(QZS-6)が打ち上げられました。準天頂衛星システムの強化のため追加される3機の衛星の1つで、みちびき3号とおなじ静止軌道に投入されます。</t>
    <rPh sb="29" eb="31">
      <t>ゴウキ</t>
    </rPh>
    <phoneticPr fontId="1"/>
  </si>
  <si>
    <t>02/02 07:02:00</t>
    <phoneticPr fontId="1"/>
  </si>
  <si>
    <t>追加</t>
    <rPh sb="0" eb="2">
      <t>ツイカ</t>
    </rPh>
    <phoneticPr fontId="1"/>
  </si>
  <si>
    <t>11/04 15:48:00</t>
    <phoneticPr fontId="1"/>
  </si>
  <si>
    <t>【今日の人工衛星】11/4 2024年：Xバンド防衛通信衛星「きらめき3号」　H3ロケット4号機で打ち上げ。防衛省が保有し、自衛隊の指揮統制・作戦情報支援のための通信に利用される。</t>
    <rPh sb="49" eb="50">
      <t>ウ</t>
    </rPh>
    <rPh sb="51" eb="52">
      <t>ア</t>
    </rPh>
    <rPh sb="54" eb="57">
      <t>ボウエイショウ</t>
    </rPh>
    <rPh sb="58" eb="60">
      <t>ホユウ</t>
    </rPh>
    <rPh sb="62" eb="65">
      <t>ジエイタイ</t>
    </rPh>
    <rPh sb="66" eb="68">
      <t>シキ</t>
    </rPh>
    <rPh sb="68" eb="70">
      <t>トウセイ</t>
    </rPh>
    <rPh sb="71" eb="73">
      <t>サクセン</t>
    </rPh>
    <rPh sb="73" eb="75">
      <t>ジョウホウ</t>
    </rPh>
    <rPh sb="75" eb="77">
      <t>シエン</t>
    </rPh>
    <rPh sb="81" eb="83">
      <t>ツウシン</t>
    </rPh>
    <rPh sb="84" eb="86">
      <t>リヨウ</t>
    </rPh>
    <phoneticPr fontId="1"/>
  </si>
  <si>
    <t>★2024年の今日11/4 15:48:00、H3ロケット4号機で、Xバンド防衛通信衛星「きらめき3号」が打ち上げられました。防衛省が保有し、自衛隊の指揮統制・作戦情報支援のための通信に利用されます。</t>
    <rPh sb="30" eb="32">
      <t>ゴウキ</t>
    </rPh>
    <phoneticPr fontId="1"/>
  </si>
  <si>
    <t>n110402d</t>
    <phoneticPr fontId="1"/>
  </si>
  <si>
    <t>n110402t1</t>
    <phoneticPr fontId="1"/>
  </si>
  <si>
    <t>11/04 07:01:00</t>
    <phoneticPr fontId="1"/>
  </si>
  <si>
    <t>09/26 07:01:00</t>
    <phoneticPr fontId="1"/>
  </si>
  <si>
    <t>09/26 14:24:20</t>
    <phoneticPr fontId="1"/>
  </si>
  <si>
    <t>【今日の人工衛星】9/26 2024年：情報収集衛星レーダ8号機(IGS R8) H-IIAロケット49号機で打ち上げ。日本の事実上の偵察衛星シリーズでありレーダ7号機と同型、データ中継衛星との通信機能も持つ。</t>
    <rPh sb="63" eb="66">
      <t>ジジツジョウ</t>
    </rPh>
    <rPh sb="82" eb="84">
      <t>ゴウキ</t>
    </rPh>
    <rPh sb="85" eb="87">
      <t>ドウガタ</t>
    </rPh>
    <rPh sb="91" eb="93">
      <t>チュウケイ</t>
    </rPh>
    <rPh sb="93" eb="95">
      <t>エイセイ</t>
    </rPh>
    <rPh sb="97" eb="99">
      <t>ツウシン</t>
    </rPh>
    <rPh sb="99" eb="101">
      <t>キノウ</t>
    </rPh>
    <rPh sb="102" eb="103">
      <t>モ</t>
    </rPh>
    <phoneticPr fontId="1"/>
  </si>
  <si>
    <t>★2024年の今日9/26 14:24:20、H-IIAロケット49号機で情報収集衛星レーダー8号機が打ち上げられました。日本の事実上の偵察衛星シリーズで、レーダ7号機と同型とされ、データ中継衛星との通信機能も持つとされます。</t>
    <phoneticPr fontId="1"/>
  </si>
  <si>
    <t>n092602d</t>
    <phoneticPr fontId="1"/>
  </si>
  <si>
    <t>n092602t1</t>
    <phoneticPr fontId="1"/>
  </si>
  <si>
    <t>【今日の人工衛星】3/4 2010年：GOES-15 アメリカの気象観測衛星GOESのうちの1基。2011年より運用中だが、後継機のGOES-17が2018年に打ち上げられ、待機運用となったのち、2023年からは米宇宙軍の気象衛星EWS-G2として再活用されている。</t>
    <rPh sb="47" eb="48">
      <t>キ</t>
    </rPh>
    <rPh sb="53" eb="54">
      <t>ネン</t>
    </rPh>
    <rPh sb="56" eb="59">
      <t>ウンヨウチュウ</t>
    </rPh>
    <rPh sb="62" eb="65">
      <t>コウケイキ</t>
    </rPh>
    <rPh sb="78" eb="79">
      <t>ネン</t>
    </rPh>
    <rPh sb="80" eb="81">
      <t>ウ</t>
    </rPh>
    <rPh sb="82" eb="83">
      <t>ア</t>
    </rPh>
    <rPh sb="87" eb="89">
      <t>タイキ</t>
    </rPh>
    <rPh sb="89" eb="91">
      <t>ウンヨウ</t>
    </rPh>
    <rPh sb="102" eb="103">
      <t>ネン</t>
    </rPh>
    <rPh sb="106" eb="107">
      <t>ベイ</t>
    </rPh>
    <rPh sb="107" eb="110">
      <t>ウチュウグン</t>
    </rPh>
    <rPh sb="111" eb="113">
      <t>キショウ</t>
    </rPh>
    <rPh sb="113" eb="115">
      <t>エイセイ</t>
    </rPh>
    <rPh sb="124" eb="127">
      <t>サイカツヨウ</t>
    </rPh>
    <phoneticPr fontId="1"/>
  </si>
  <si>
    <t>https://holylandtokyo.com/2023/09/28/5070/</t>
    <phoneticPr fontId="1"/>
  </si>
  <si>
    <t>追記</t>
    <rPh sb="0" eb="2">
      <t>ツイキ</t>
    </rPh>
    <phoneticPr fontId="1"/>
  </si>
  <si>
    <t>★H-IIAロケット15号機の打上から49分後、ひとみ（PRISM、東京大学）が分離されました。ひとみ（PRISM）は2025年4月19日に大気圏に再突入しました。 https://www.n2yo.com/satellite/?s=33493</t>
    <rPh sb="63" eb="64">
      <t>ネン</t>
    </rPh>
    <rPh sb="65" eb="66">
      <t>ガツ</t>
    </rPh>
    <rPh sb="68" eb="69">
      <t>ニチ</t>
    </rPh>
    <rPh sb="70" eb="73">
      <t>タイキケン</t>
    </rPh>
    <rPh sb="74" eb="77">
      <t>サイトツニュウ</t>
    </rPh>
    <phoneticPr fontId="1"/>
  </si>
  <si>
    <t>n062902d</t>
    <phoneticPr fontId="1"/>
  </si>
  <si>
    <t>n062902t1</t>
    <phoneticPr fontId="1"/>
  </si>
  <si>
    <t>J_H2A</t>
    <phoneticPr fontId="1"/>
  </si>
  <si>
    <t>New</t>
    <phoneticPr fontId="1"/>
  </si>
  <si>
    <t>【今日の人工衛星】6/30 2003年：Cubesat XI-IV(東大中須賀研)、CUTE-I(東工大松永研) いずれも大学の研究室による小型衛星。2011年現在、いずれも生きており、後期運用中。</t>
    <phoneticPr fontId="1"/>
  </si>
  <si>
    <t>06/29 01:33:03</t>
    <phoneticPr fontId="1"/>
  </si>
  <si>
    <t>06/29 07:01:00</t>
    <phoneticPr fontId="1"/>
  </si>
  <si>
    <t>【今日の人工衛星】6/29 2025年：温室効果ガス・水循環観測技術衛星（GOSAT-GW）　H-IIAロケット50号機で打ち上げ。先代のいぶき2号（GOSAT-2）としずく（GCOM-W）の両ミッションを引き継ぎ発展させる衛星です</t>
    <rPh sb="61" eb="62">
      <t>ウ</t>
    </rPh>
    <rPh sb="63" eb="64">
      <t>ア</t>
    </rPh>
    <rPh sb="66" eb="68">
      <t>センダイ</t>
    </rPh>
    <rPh sb="73" eb="74">
      <t>ゴウ</t>
    </rPh>
    <rPh sb="96" eb="97">
      <t>リョウ</t>
    </rPh>
    <rPh sb="103" eb="104">
      <t>ヒ</t>
    </rPh>
    <rPh sb="105" eb="106">
      <t>ツ</t>
    </rPh>
    <rPh sb="107" eb="109">
      <t>ハッテン</t>
    </rPh>
    <rPh sb="112" eb="114">
      <t>エイセイ</t>
    </rPh>
    <phoneticPr fontId="1"/>
  </si>
  <si>
    <t>【今日の人工衛星】5/20(UTC) 2010年：あかつき、IKAROS 日本の金星探査機とソーラー電力セイル実験機。あかつきの初回の金星軌道投入は失敗、IKAROSの実験が先行して大成功を収めた。あかつきも5年後の2015年に軌道投入に成功、2024年まで科学観測を行った。</t>
    <rPh sb="126" eb="127">
      <t>ネン</t>
    </rPh>
    <phoneticPr fontId="1"/>
  </si>
  <si>
    <t>★H-IIAロケット17号機の打上から42分後、ソーラー電力セイル実験機IKAROSが分離されました。その後、全ての実験に成功、逆回転に切り替える実験にも成功し、2015年春まで通信も行われていました。</t>
    <rPh sb="85" eb="86">
      <t>ネン</t>
    </rPh>
    <rPh sb="86" eb="87">
      <t>ハル</t>
    </rPh>
    <rPh sb="89" eb="91">
      <t>ツウシン</t>
    </rPh>
    <rPh sb="92" eb="93">
      <t>オコナ</t>
    </rPh>
    <phoneticPr fontId="1"/>
  </si>
  <si>
    <t>★2025年の今日6/29 01:33:03、H-IIAロケット50号機で、温室効果ガス・水循環観測技術衛星（GOSAT-GW）が打ち上げられました。H-IIA/Bロケットシリーズ最後の打ち上げを無事成功させ、有終の美を飾りました。</t>
    <rPh sb="34" eb="36">
      <t>ゴウキ</t>
    </rPh>
    <rPh sb="90" eb="92">
      <t>サイゴ</t>
    </rPh>
    <rPh sb="93" eb="94">
      <t>ウ</t>
    </rPh>
    <rPh sb="95" eb="96">
      <t>ア</t>
    </rPh>
    <rPh sb="98" eb="100">
      <t>ブジ</t>
    </rPh>
    <rPh sb="100" eb="102">
      <t>セイコウ</t>
    </rPh>
    <rPh sb="105" eb="107">
      <t>ユウシュウ</t>
    </rPh>
    <rPh sb="108" eb="109">
      <t>ビ</t>
    </rPh>
    <rPh sb="110" eb="111">
      <t>カザ</t>
    </rPh>
    <phoneticPr fontId="1"/>
  </si>
  <si>
    <t>余分なタブが入っていた</t>
    <rPh sb="0" eb="2">
      <t>ヨブン</t>
    </rPh>
    <rPh sb="6" eb="7">
      <t>ハイ</t>
    </rPh>
    <phoneticPr fontId="1"/>
  </si>
  <si>
    <t>08/23 07:01:00</t>
    <phoneticPr fontId="1"/>
  </si>
  <si>
    <t>【今日の人工衛星】8/23(UTC) 2005年：きらり 衛星間のレーザー光による通信実験を実施。ESAのARTEMISや地上局との通信に成功。</t>
    <phoneticPr fontId="1"/>
  </si>
  <si>
    <t>n082302d</t>
    <phoneticPr fontId="1"/>
  </si>
  <si>
    <t>運用終了報告に合わせてツイート分離</t>
    <rPh sb="0" eb="2">
      <t>ウンヨウ</t>
    </rPh>
    <rPh sb="2" eb="4">
      <t>シュウリョウ</t>
    </rPh>
    <rPh sb="4" eb="6">
      <t>ホウコク</t>
    </rPh>
    <rPh sb="7" eb="8">
      <t>ア</t>
    </rPh>
    <rPh sb="15" eb="17">
      <t>ブンリ</t>
    </rPh>
    <phoneticPr fontId="1"/>
  </si>
  <si>
    <t>【今日の人工衛星】8/23(UTC)   2005年：れいめい   小型技術実証衛星。理学・工学ミッション以外に若手の技術習得も目的としていた。ながらく宇宙研から直接運用していたが、2025年7月に動作が停止、2026年3月4日に運用停止となった https://www.isas.jaxa.jp/topics/004204.html</t>
    <phoneticPr fontId="1"/>
  </si>
  <si>
    <t xml:space="preserve">【お帰りはやぶさ・帰還17周年】6/9 12:30-15:00 最後の軌道修正となるTCM-4完了。4/4-6、5/1-4、5/23-27、6/3-5とあわせ5回の軌道修正でオーストラリア・ウーメラ砂漠の着陸地点へ誘導完了 </t>
    <phoneticPr fontId="1"/>
  </si>
  <si>
    <t xml:space="preserve">【お帰りはやぶさ・帰還16周年】6/13 19:54 イトカワのサンプルを格納したカプセルの切り離しに成功 </t>
    <phoneticPr fontId="1"/>
  </si>
  <si>
    <t>【お帰りはやぶさ・帰還16周年】6/13 22:02 はやぶさ、最後の地球撮影。この写真 https://www.isas.jaxa.jp/j/topics/topics/2010/0618_3.shtml を内之浦局に送信中に内之浦の水平線の向こう側に入り通信途絶(22:28)</t>
    <phoneticPr fontId="1"/>
  </si>
  <si>
    <t xml:space="preserve">【お帰りはやぶさ・帰還16周年】6/13 22:28 はやぶさ、内之浦局の観測圏外になり通信途絶。最後の信号はhttps://hayabusa.jaxa.jp/message/message_049.html に掲載されている </t>
    <phoneticPr fontId="1"/>
  </si>
  <si>
    <t xml:space="preserve">【お帰りはやぶさ・帰還16周年】6/13 22:51 はやぶさ、地球大気圏再突入。22:56にカプセルからパラシュートが展開され、23:08に着陸を果たした。 </t>
    <phoneticPr fontId="1"/>
  </si>
  <si>
    <t>2026年版に修正</t>
    <rPh sb="4" eb="5">
      <t>ネン</t>
    </rPh>
    <rPh sb="5" eb="6">
      <t>バン</t>
    </rPh>
    <rPh sb="7" eb="9">
      <t>シュウセイ</t>
    </rPh>
    <phoneticPr fontId="1"/>
  </si>
  <si>
    <t>【お帰りはやぶさ2カプセル・帰還6周年】12/05 14:30 リュウグウのサンプルを格納したカプセルの切り離しに成功したことを確認</t>
    <rPh sb="64" eb="66">
      <t>カクニン</t>
    </rPh>
    <phoneticPr fontId="1"/>
  </si>
  <si>
    <t>【お帰りはやぶさ2カプセル・帰還6周年】12/05 16:31 カプセル分離後、地球圏離脱のための軌道修正TCM-5の成功を確認。はやぶさ2は拡張ミッションへの軌道に乗り移った。</t>
    <rPh sb="36" eb="39">
      <t>ブンリゴ</t>
    </rPh>
    <rPh sb="40" eb="43">
      <t>チキュウケン</t>
    </rPh>
    <rPh sb="43" eb="45">
      <t>リダツ</t>
    </rPh>
    <rPh sb="49" eb="51">
      <t>キドウ</t>
    </rPh>
    <rPh sb="51" eb="53">
      <t>シュウセイ</t>
    </rPh>
    <rPh sb="59" eb="61">
      <t>セイコウ</t>
    </rPh>
    <rPh sb="62" eb="64">
      <t>カクニン</t>
    </rPh>
    <rPh sb="71" eb="73">
      <t>カクチョウ</t>
    </rPh>
    <rPh sb="80" eb="82">
      <t>キドウ</t>
    </rPh>
    <rPh sb="83" eb="84">
      <t>ノ</t>
    </rPh>
    <rPh sb="85" eb="86">
      <t>ウツ</t>
    </rPh>
    <phoneticPr fontId="1"/>
  </si>
  <si>
    <t xml:space="preserve">【お帰りはやぶさ2カプセル・帰還6周年】12/06 02:54 はやぶさ2カプセル、ウーメラ砂漠に着陸を果たした。 </t>
    <rPh sb="46" eb="48">
      <t>サバク</t>
    </rPh>
    <rPh sb="49" eb="51">
      <t>チャクリク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</si>
</sst>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charset val="128"/>
      <scheme val="minor"/>
    </font>
    <font>
      <sz val="6"/>
      <name val="ＭＳ Ｐゴシック"/>
      <family val="2"/>
      <charset val="128"/>
      <scheme val="minor"/>
    </font>
    <font>
      <sz val="10"/>
      <color theme="1"/>
      <name val="游ゴシック"/>
      <family val="3"/>
      <charset val="128"/>
    </font>
    <font>
      <u/>
      <sz val="11"/>
      <color theme="10"/>
      <name val="ＭＳ Ｐゴシック"/>
      <family val="2"/>
      <charset val="128"/>
      <scheme val="minor"/>
    </font>
  </fonts>
  <fills count="4">
    <fill>
      <patternFill patternType="none"/>
    </fill>
    <fill>
      <patternFill patternType="gray125"/>
    </fill>
    <fill>
      <patternFill patternType="solid">
        <fgColor theme="4"/>
        <bgColor indexed="64"/>
      </patternFill>
    </fill>
    <fill>
      <patternFill patternType="solid">
        <fgColor theme="1"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3">
    <xf numFmtId="0" fontId="0" fillId="0" borderId="0" xfId="0">
      <alignment vertical="center"/>
    </xf>
    <xf numFmtId="49" fontId="0" fillId="0" borderId="0" xfId="0" applyNumberFormat="1">
      <alignment vertical="center"/>
    </xf>
    <xf numFmtId="0" fontId="0" fillId="0" borderId="0" xfId="0" applyAlignment="1">
      <alignment vertical="center" wrapText="1"/>
    </xf>
    <xf numFmtId="0" fontId="0" fillId="2" borderId="0" xfId="0" applyFill="1">
      <alignment vertical="center"/>
    </xf>
    <xf numFmtId="0" fontId="0" fillId="2" borderId="0" xfId="0" applyFill="1" applyAlignment="1">
      <alignment vertical="center" wrapText="1"/>
    </xf>
    <xf numFmtId="0" fontId="2" fillId="0" borderId="1" xfId="0" applyFont="1" applyBorder="1">
      <alignment vertical="center"/>
    </xf>
    <xf numFmtId="0" fontId="2" fillId="0" borderId="0" xfId="0" applyFont="1">
      <alignment vertical="center"/>
    </xf>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lignment vertical="center"/>
    </xf>
    <xf numFmtId="0" fontId="2" fillId="0" borderId="0" xfId="0" pivotButton="1" applyFont="1">
      <alignment vertical="center"/>
    </xf>
    <xf numFmtId="0" fontId="2" fillId="0" borderId="0" xfId="0" applyFont="1" applyAlignment="1">
      <alignment horizontal="left" vertical="center"/>
    </xf>
    <xf numFmtId="0" fontId="3" fillId="0" borderId="0" xfId="1">
      <alignment vertical="center"/>
    </xf>
  </cellXfs>
  <cellStyles count="2">
    <cellStyle name="ハイパーリンク" xfId="1" builtinId="8"/>
    <cellStyle name="標準" xfId="0" builtinId="0"/>
  </cellStyles>
  <dxfs count="34">
    <dxf>
      <fill>
        <patternFill>
          <bgColor theme="9" tint="0.79998168889431442"/>
        </patternFill>
      </fill>
    </dxf>
    <dxf>
      <font>
        <color rgb="FFFF0000"/>
      </font>
      <fill>
        <patternFill patternType="solid">
          <bgColor theme="5" tint="0.79998168889431442"/>
        </patternFill>
      </fill>
    </dxf>
    <dxf>
      <font>
        <name val="游ゴシック"/>
        <family val="3"/>
        <scheme val="none"/>
      </font>
    </dxf>
    <dxf>
      <font>
        <name val="游ゴシック"/>
        <family val="3"/>
        <scheme val="none"/>
      </font>
    </dxf>
    <dxf>
      <font>
        <name val="游ゴシック"/>
        <family val="3"/>
        <scheme val="none"/>
      </font>
    </dxf>
    <dxf>
      <font>
        <name val="游ゴシック"/>
        <family val="3"/>
        <scheme val="none"/>
      </font>
    </dxf>
    <dxf>
      <font>
        <name val="游ゴシック"/>
        <family val="3"/>
        <scheme val="none"/>
      </font>
    </dxf>
    <dxf>
      <font>
        <name val="游ゴシック"/>
        <family val="3"/>
        <scheme val="none"/>
      </font>
    </dxf>
    <dxf>
      <font>
        <name val="游ゴシック"/>
        <family val="3"/>
        <scheme val="none"/>
      </font>
    </dxf>
    <dxf>
      <font>
        <name val="游ゴシック"/>
        <family val="3"/>
        <scheme val="none"/>
      </font>
    </dxf>
    <dxf>
      <font>
        <name val="游ゴシック"/>
        <family val="3"/>
        <scheme val="none"/>
      </font>
    </dxf>
    <dxf>
      <font>
        <name val="游ゴシック"/>
        <family val="3"/>
        <scheme val="none"/>
      </font>
    </dxf>
    <dxf>
      <font>
        <name val="游ゴシック"/>
        <family val="3"/>
        <scheme val="none"/>
      </font>
    </dxf>
    <dxf>
      <font>
        <name val="游ゴシック"/>
        <family val="3"/>
        <scheme val="none"/>
      </font>
    </dxf>
    <dxf>
      <font>
        <name val="游ゴシック"/>
        <family val="3"/>
        <scheme val="none"/>
      </font>
    </dxf>
    <dxf>
      <font>
        <name val="游ゴシック"/>
        <family val="3"/>
        <scheme val="none"/>
      </font>
    </dxf>
    <dxf>
      <font>
        <name val="游ゴシック"/>
        <family val="3"/>
        <scheme val="none"/>
      </font>
    </dxf>
    <dxf>
      <font>
        <name val="游ゴシック"/>
        <family val="3"/>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作成者" refreshedDate="45347.662498148151" createdVersion="8" refreshedVersion="8" minRefreshableVersion="3" recordCount="540" xr:uid="{9E6D2E13-8F56-4B78-BB37-4332B415CC49}">
  <cacheSource type="worksheet">
    <worksheetSource ref="D1:D1048576" sheet="todayssatellite"/>
  </cacheSource>
  <cacheFields count="1">
    <cacheField name="Number" numFmtId="0">
      <sharedItems containsBlank="1" count="539">
        <s v="n010101d"/>
        <s v="n010201d"/>
        <s v="n010301d"/>
        <s v="n010401d"/>
        <s v="n010501d"/>
        <s v="n010601d"/>
        <s v="n010701d"/>
        <s v="n010801d"/>
        <s v="n010801t1"/>
        <s v="n010901d"/>
        <s v="n011001d"/>
        <s v="n011101d"/>
        <s v="n011201d"/>
        <s v="n011301d"/>
        <s v="n011401d"/>
        <s v="n011501d"/>
        <s v="n011502d"/>
        <s v="n011502t1"/>
        <s v="n011601d"/>
        <s v="n011701d"/>
        <s v="n011801d"/>
        <s v="n011901d"/>
        <s v="n012001d"/>
        <s v="n012101d"/>
        <s v="n012201d"/>
        <s v="n012201t1"/>
        <s v="n012301d"/>
        <s v="n012302d"/>
        <s v="n012302t1"/>
        <s v="n012302t2"/>
        <s v="n012302t3"/>
        <s v="n012302t4"/>
        <s v="n012302t5"/>
        <s v="n012302t6"/>
        <s v="n012302t7"/>
        <s v="n012302t8"/>
        <s v="n012401d"/>
        <s v="n012401t1"/>
        <s v="n012402d"/>
        <s v="n012402t1"/>
        <s v="n012501d"/>
        <s v="n012601d"/>
        <s v="n012701d"/>
        <s v="n012702d"/>
        <s v="n012801d"/>
        <s v="n012901d"/>
        <s v="n013001d"/>
        <s v="n013101d"/>
        <s v="n020101d"/>
        <s v="n020201d"/>
        <s v="n020201d1"/>
        <s v="n020301d"/>
        <s v="n020302d"/>
        <s v="n020401d"/>
        <s v="n020401t1"/>
        <s v="n020401t2"/>
        <s v="n020401t3"/>
        <s v="n020501d"/>
        <s v="n020501t1"/>
        <s v="n020601d"/>
        <s v="n020601t1"/>
        <s v="n020701d"/>
        <s v="n020702d"/>
        <s v="n020702t1"/>
        <s v="n020801d"/>
        <s v="n020901d"/>
        <s v="n021001d"/>
        <s v="n021002d"/>
        <s v="n021002t1"/>
        <s v="n021101d"/>
        <s v="n021101t1"/>
        <s v="n021102d"/>
        <s v="n021102t1"/>
        <s v="n021102t2"/>
        <s v="n021201d"/>
        <s v="n021202d"/>
        <s v="n021202t1"/>
        <s v="n021301d"/>
        <s v="n021401d"/>
        <s v="n021501d"/>
        <s v="n021601d"/>
        <s v="n021601t1"/>
        <s v="n021601t2"/>
        <s v="n021602d"/>
        <s v="n021603d"/>
        <s v="n021701d"/>
        <s v="n021702d"/>
        <s v="n021702t1"/>
        <s v="n021801d"/>
        <s v="n021801t1"/>
        <s v="n021802d"/>
        <s v="n021901d"/>
        <s v="n021901t1"/>
        <s v="n021902d"/>
        <s v="n022001d"/>
        <s v="n022001t1"/>
        <s v="n022002d"/>
        <s v="n022002t1"/>
        <s v="n022003d"/>
        <s v="n022003t1"/>
        <s v="n022003t2"/>
        <s v="n022003t3"/>
        <s v="n022101d"/>
        <s v="n022101t1"/>
        <s v="n022101t2"/>
        <s v="n022102d"/>
        <s v="n022102t1"/>
        <s v="n022103d"/>
        <s v="n022103t1"/>
        <s v="n022201d"/>
        <s v="n022201t1"/>
        <s v="n022301d"/>
        <s v="n022301t1"/>
        <s v="n022302d"/>
        <s v="n022302t1"/>
        <s v="n022401d"/>
        <s v="n022401t1"/>
        <s v="n022402d"/>
        <s v="n022501d"/>
        <s v="n022601d"/>
        <s v="n022601t1"/>
        <s v="n022602d"/>
        <s v="n022701d"/>
        <s v="n022702d"/>
        <s v="n022702t1"/>
        <s v="n022801d"/>
        <s v="n022901d"/>
        <s v="n022901t1"/>
        <s v="n030101d"/>
        <s v="n030201d"/>
        <s v="n030301d"/>
        <s v="n030401d"/>
        <s v="n030501d"/>
        <s v="n030601d"/>
        <s v="n030701d"/>
        <s v="n030801d"/>
        <s v="n030901d"/>
        <s v="n030902d"/>
        <s v="n031001d"/>
        <s v="n031101d"/>
        <s v="n031101t1"/>
        <s v="n031201d"/>
        <s v="n031301d"/>
        <s v="n031401d"/>
        <s v="n031501d"/>
        <s v="n031601d"/>
        <s v="n031701d"/>
        <s v="n031801d"/>
        <s v="n031801t1"/>
        <s v="n031901d"/>
        <s v="n032001d"/>
        <s v="n032101d"/>
        <s v="n032201d"/>
        <s v="n032301d"/>
        <s v="n032401d"/>
        <s v="n032501d"/>
        <s v="n032601d"/>
        <s v="n032701d"/>
        <s v="n032801d"/>
        <s v="n032801t1"/>
        <s v="n032901d"/>
        <s v="n033001d"/>
        <s v="n033101d"/>
        <s v="n040101d"/>
        <s v="n040201d"/>
        <s v="n040301d"/>
        <s v="n040401d"/>
        <s v="n040501d"/>
        <s v="n040601d"/>
        <s v="n040701d"/>
        <s v="n040801d"/>
        <s v="n040901d"/>
        <s v="n041001d"/>
        <s v="n041101d"/>
        <s v="n041201d"/>
        <s v="n041202d"/>
        <s v="n041301d"/>
        <s v="n041302d"/>
        <s v="n041401d"/>
        <s v="n041501d"/>
        <s v="n041601d"/>
        <s v="n041602d"/>
        <s v="n041701d"/>
        <s v="n041801d"/>
        <s v="n041901d"/>
        <s v="n042001d"/>
        <s v="n042101d"/>
        <s v="n042201d"/>
        <s v="n042301d"/>
        <s v="n042401d"/>
        <s v="n042501d"/>
        <s v="n042601d"/>
        <s v="n042701d"/>
        <s v="n042801d"/>
        <s v="n042802d"/>
        <s v="n042901d"/>
        <s v="n043001d"/>
        <s v="n050101d"/>
        <s v="n050201d"/>
        <s v="n050301d"/>
        <s v="n050401d"/>
        <s v="n050501d"/>
        <s v="n050601d"/>
        <s v="n050701d"/>
        <s v="n050801d"/>
        <s v="n050901d"/>
        <s v="n050901t1"/>
        <s v="n050901t2"/>
        <s v="n050901t3"/>
        <s v="n050901t4"/>
        <s v="n050901t5"/>
        <s v="n050901t6"/>
        <s v="n051001d"/>
        <s v="n051101d"/>
        <s v="n051201d"/>
        <s v="n051301d"/>
        <s v="n051401d"/>
        <s v="n051402d"/>
        <s v="n051501d"/>
        <s v="n051601d"/>
        <s v="n051701d"/>
        <s v="n051801d"/>
        <s v="n051901d"/>
        <s v="n052001d"/>
        <s v="n052001t1"/>
        <s v="n052001t2"/>
        <s v="n052001t3"/>
        <s v="n052001t4"/>
        <s v="n052001t5"/>
        <s v="n052002d"/>
        <s v="n052002t1"/>
        <s v="n052101d"/>
        <s v="n052201d"/>
        <s v="n052301d"/>
        <s v="n052401d"/>
        <s v="n052501d"/>
        <s v="n052601d"/>
        <s v="n052701d"/>
        <s v="n052801d"/>
        <s v="n052901d"/>
        <s v="n053001d"/>
        <s v="n053002d"/>
        <s v="n053101d"/>
        <s v="n053101t1"/>
        <s v="n060101d"/>
        <s v="n060201d"/>
        <s v="n060202d"/>
        <s v="n060203d"/>
        <s v="n060301d"/>
        <s v="n060401d"/>
        <s v="n060501d"/>
        <s v="n060601d"/>
        <s v="n060701d"/>
        <s v="n060801d"/>
        <s v="n060802d"/>
        <s v="n060901d"/>
        <s v="n061001d"/>
        <s v="n061101d"/>
        <s v="n061201d"/>
        <s v="n061202d"/>
        <s v="n061203d"/>
        <s v="n061301d"/>
        <s v="n061401d"/>
        <s v="n061501d"/>
        <s v="n061502d"/>
        <s v="n061601d"/>
        <s v="n061701d1"/>
        <s v="n061701d2"/>
        <s v="n061801d"/>
        <s v="n061901d"/>
        <s v="n061902d"/>
        <s v="n062001d"/>
        <s v="n062101d"/>
        <s v="n062201d"/>
        <s v="n062301d"/>
        <s v="n062401d"/>
        <s v="n062501d"/>
        <s v="n062601d"/>
        <s v="n062701d"/>
        <s v="n062801d"/>
        <s v="n062901d"/>
        <s v="n063001d"/>
        <s v="n063002d"/>
        <s v="n070101d"/>
        <s v="n070201d"/>
        <s v="n070301d"/>
        <s v="n070301t1"/>
        <s v="n070401d"/>
        <s v="n070501d"/>
        <s v="n070601d"/>
        <s v="n070701d"/>
        <s v="n070801d"/>
        <s v="n070901d"/>
        <s v="n071001d"/>
        <s v="n071001t1"/>
        <s v="n071101d"/>
        <s v="n071201d"/>
        <s v="n071301d"/>
        <s v="n071401d"/>
        <s v="n071401t1"/>
        <s v="n071501d"/>
        <s v="n071502d"/>
        <s v="n071502t1"/>
        <s v="n071601d"/>
        <s v="n071701d"/>
        <s v="n071801d"/>
        <s v="n071901d"/>
        <s v="n072001d"/>
        <s v="n072101d"/>
        <s v="n072201d"/>
        <s v="n072301d"/>
        <s v="n072302d"/>
        <s v="n072401d"/>
        <s v="n072401t1"/>
        <s v="n072501d"/>
        <s v="n072601d"/>
        <s v="n072602d"/>
        <s v="n072701d"/>
        <s v="n072801d"/>
        <s v="n072901d"/>
        <s v="n073001d"/>
        <s v="n073101d"/>
        <s v="n080101d"/>
        <s v="n080201d"/>
        <s v="n080201t1"/>
        <s v="n080301d"/>
        <s v="n080401d"/>
        <s v="n080501d"/>
        <s v="n080501t1"/>
        <s v="n080601d"/>
        <s v="n080701d"/>
        <s v="n080801d"/>
        <s v="n080901d"/>
        <s v="n081001d"/>
        <s v="n081001t1"/>
        <s v="n081101d"/>
        <s v="n081201d"/>
        <s v="n081201t1"/>
        <s v="n081202d"/>
        <s v="n081301d"/>
        <s v="n081401d"/>
        <s v="n081402d"/>
        <s v="n081501d"/>
        <s v="n081601d"/>
        <s v="n081701d"/>
        <s v="n081702d"/>
        <s v="n081702t1"/>
        <s v="n081801d"/>
        <s v="n081801t1"/>
        <s v="n081901d"/>
        <s v="n081901t1"/>
        <s v="n082001d"/>
        <s v="n082002d"/>
        <s v="n082101d"/>
        <s v="n082201d"/>
        <s v="n082301d"/>
        <s v="n082301t1"/>
        <s v="n082401d"/>
        <s v="n082501d"/>
        <s v="n082501t1"/>
        <s v="n082601d"/>
        <s v="n082701d"/>
        <s v="n082701t1"/>
        <s v="n082801d"/>
        <s v="n082801t1"/>
        <s v="n082802d"/>
        <s v="n082802t1"/>
        <s v="n082901d"/>
        <s v="n082901t1"/>
        <s v="n083001d"/>
        <s v="n083001t1"/>
        <s v="n083101d"/>
        <s v="n090101d"/>
        <s v="n090201d"/>
        <s v="n090301d"/>
        <s v="n090301t1"/>
        <s v="n090401d"/>
        <s v="n090501d"/>
        <s v="n090502d"/>
        <s v="n090502t1"/>
        <s v="n090601d"/>
        <s v="n090701d"/>
        <s v="n090801d"/>
        <s v="n090901d"/>
        <s v="n090901t1"/>
        <s v="n091001d"/>
        <s v="n091001t1"/>
        <s v="n091002d"/>
        <s v="n091003d"/>
        <s v="n091003t1"/>
        <s v="n091101d"/>
        <s v="n091101t1"/>
        <s v="n091102d"/>
        <s v="n091102t1"/>
        <s v="n091201d"/>
        <s v="n091301d"/>
        <s v="n091401d"/>
        <s v="n091401t1"/>
        <s v="n091402d"/>
        <s v="n091402t1"/>
        <s v="n091501d"/>
        <s v="n091601d"/>
        <s v="n091601t1"/>
        <s v="n091602d"/>
        <s v="n091602t1"/>
        <s v="n091701d"/>
        <s v="n091801d"/>
        <s v="n091901d"/>
        <s v="n092001d"/>
        <s v="n092101d"/>
        <s v="n092201d"/>
        <s v="n092201t1"/>
        <s v="n092202d"/>
        <s v="n092203d"/>
        <s v="n092301d"/>
        <s v="n092401d"/>
        <s v="n092501d"/>
        <s v="n092601d"/>
        <s v="n092701d"/>
        <s v="n092801d"/>
        <s v="n092801t1"/>
        <s v="n092901d"/>
        <s v="n093001d"/>
        <s v="n100101d"/>
        <s v="n100201d"/>
        <s v="n100301d"/>
        <s v="n100302d"/>
        <s v="n100401d"/>
        <s v="n100501d"/>
        <s v="n100601d"/>
        <s v="n100602d"/>
        <s v="n100701d"/>
        <s v="n100801d"/>
        <s v="n100901d"/>
        <s v="n101001d"/>
        <s v="n101101d"/>
        <s v="n101201d"/>
        <s v="n101202d"/>
        <s v="n101301d"/>
        <s v="n101401d"/>
        <s v="n101501d"/>
        <s v="n101601d"/>
        <s v="n101701d"/>
        <s v="n101801d"/>
        <s v="n101901d"/>
        <s v="n102001d"/>
        <s v="n102101d"/>
        <s v="n102201d"/>
        <s v="n102301d"/>
        <s v="n102401d"/>
        <s v="n102501d"/>
        <s v="n102601d"/>
        <s v="n102701d"/>
        <s v="n102801d"/>
        <s v="n102901d"/>
        <s v="n103001d"/>
        <s v="n103101d"/>
        <s v="n110101d"/>
        <s v="n110201d"/>
        <s v="n110301d"/>
        <s v="n110401d"/>
        <s v="n110501d"/>
        <s v="n110601d"/>
        <s v="n110701d"/>
        <s v="n110801d"/>
        <s v="n110901d"/>
        <s v="n111001d"/>
        <s v="n111101d"/>
        <s v="n111201d"/>
        <s v="n111202d"/>
        <s v="n111301d"/>
        <s v="n111401d"/>
        <s v="n111501d"/>
        <s v="n111501t1"/>
        <s v="n111502d"/>
        <s v="n111601d"/>
        <s v="n111701d"/>
        <s v="n111801d"/>
        <s v="n111901d"/>
        <s v="n112001d"/>
        <s v="n112101d"/>
        <s v="n112201d"/>
        <s v="n112301d"/>
        <s v="n112401d"/>
        <s v="n112501d"/>
        <s v="n112601d"/>
        <s v="n112701d"/>
        <s v="n112701t1"/>
        <s v="n112702d"/>
        <s v="n112801d"/>
        <s v="n112801t1"/>
        <s v="n112901d"/>
        <s v="n112901t1"/>
        <s v="n113001d"/>
        <s v="n120101d"/>
        <s v="n120201d"/>
        <s v="n120301d"/>
        <s v="n120301t1"/>
        <s v="n120301t2"/>
        <s v="n120301t3"/>
        <s v="n120301t4"/>
        <s v="n120302d"/>
        <s v="n120401d"/>
        <s v="n120501d"/>
        <s v="n120601d"/>
        <s v="n120701d"/>
        <s v="n120801d"/>
        <s v="n120802d"/>
        <s v="n120901d"/>
        <s v="n121001d"/>
        <s v="n121101d"/>
        <s v="n121201d"/>
        <s v="n121301d"/>
        <s v="n121401d"/>
        <s v="n121401t1"/>
        <s v="n121402d"/>
        <s v="n121403d"/>
        <s v="n121501d"/>
        <s v="n121502d"/>
        <s v="n121601d"/>
        <s v="n121701d"/>
        <s v="n121801d"/>
        <s v="n121801t1"/>
        <s v="n121901d"/>
        <s v="n122001d"/>
        <s v="n122101d"/>
        <s v="n122102d"/>
        <s v="n122103d"/>
        <s v="n122201d"/>
        <s v="n122301d"/>
        <s v="n122401d"/>
        <s v="n122501d"/>
        <s v="n122601d"/>
        <s v="n122701d"/>
        <s v="n122801d"/>
        <s v="n122901d"/>
        <s v="n123001d"/>
        <s v="n123101d"/>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205"/>
  </r>
  <r>
    <x v="206"/>
  </r>
  <r>
    <x v="207"/>
  </r>
  <r>
    <x v="208"/>
  </r>
  <r>
    <x v="209"/>
  </r>
  <r>
    <x v="210"/>
  </r>
  <r>
    <x v="211"/>
  </r>
  <r>
    <x v="212"/>
  </r>
  <r>
    <x v="213"/>
  </r>
  <r>
    <x v="214"/>
  </r>
  <r>
    <x v="215"/>
  </r>
  <r>
    <x v="216"/>
  </r>
  <r>
    <x v="217"/>
  </r>
  <r>
    <x v="218"/>
  </r>
  <r>
    <x v="219"/>
  </r>
  <r>
    <x v="220"/>
  </r>
  <r>
    <x v="221"/>
  </r>
  <r>
    <x v="222"/>
  </r>
  <r>
    <x v="223"/>
  </r>
  <r>
    <x v="224"/>
  </r>
  <r>
    <x v="225"/>
  </r>
  <r>
    <x v="226"/>
  </r>
  <r>
    <x v="227"/>
  </r>
  <r>
    <x v="228"/>
  </r>
  <r>
    <x v="229"/>
  </r>
  <r>
    <x v="230"/>
  </r>
  <r>
    <x v="231"/>
  </r>
  <r>
    <x v="232"/>
  </r>
  <r>
    <x v="233"/>
  </r>
  <r>
    <x v="234"/>
  </r>
  <r>
    <x v="235"/>
  </r>
  <r>
    <x v="236"/>
  </r>
  <r>
    <x v="237"/>
  </r>
  <r>
    <x v="238"/>
  </r>
  <r>
    <x v="239"/>
  </r>
  <r>
    <x v="240"/>
  </r>
  <r>
    <x v="241"/>
  </r>
  <r>
    <x v="242"/>
  </r>
  <r>
    <x v="243"/>
  </r>
  <r>
    <x v="244"/>
  </r>
  <r>
    <x v="245"/>
  </r>
  <r>
    <x v="246"/>
  </r>
  <r>
    <x v="247"/>
  </r>
  <r>
    <x v="248"/>
  </r>
  <r>
    <x v="249"/>
  </r>
  <r>
    <x v="250"/>
  </r>
  <r>
    <x v="251"/>
  </r>
  <r>
    <x v="252"/>
  </r>
  <r>
    <x v="253"/>
  </r>
  <r>
    <x v="254"/>
  </r>
  <r>
    <x v="255"/>
  </r>
  <r>
    <x v="256"/>
  </r>
  <r>
    <x v="257"/>
  </r>
  <r>
    <x v="258"/>
  </r>
  <r>
    <x v="259"/>
  </r>
  <r>
    <x v="260"/>
  </r>
  <r>
    <x v="261"/>
  </r>
  <r>
    <x v="262"/>
  </r>
  <r>
    <x v="263"/>
  </r>
  <r>
    <x v="264"/>
  </r>
  <r>
    <x v="265"/>
  </r>
  <r>
    <x v="266"/>
  </r>
  <r>
    <x v="267"/>
  </r>
  <r>
    <x v="268"/>
  </r>
  <r>
    <x v="269"/>
  </r>
  <r>
    <x v="270"/>
  </r>
  <r>
    <x v="271"/>
  </r>
  <r>
    <x v="272"/>
  </r>
  <r>
    <x v="273"/>
  </r>
  <r>
    <x v="274"/>
  </r>
  <r>
    <x v="275"/>
  </r>
  <r>
    <x v="276"/>
  </r>
  <r>
    <x v="277"/>
  </r>
  <r>
    <x v="278"/>
  </r>
  <r>
    <x v="279"/>
  </r>
  <r>
    <x v="280"/>
  </r>
  <r>
    <x v="281"/>
  </r>
  <r>
    <x v="282"/>
  </r>
  <r>
    <x v="283"/>
  </r>
  <r>
    <x v="284"/>
  </r>
  <r>
    <x v="285"/>
  </r>
  <r>
    <x v="286"/>
  </r>
  <r>
    <x v="287"/>
  </r>
  <r>
    <x v="288"/>
  </r>
  <r>
    <x v="289"/>
  </r>
  <r>
    <x v="290"/>
  </r>
  <r>
    <x v="291"/>
  </r>
  <r>
    <x v="292"/>
  </r>
  <r>
    <x v="293"/>
  </r>
  <r>
    <x v="294"/>
  </r>
  <r>
    <x v="295"/>
  </r>
  <r>
    <x v="296"/>
  </r>
  <r>
    <x v="297"/>
  </r>
  <r>
    <x v="298"/>
  </r>
  <r>
    <x v="299"/>
  </r>
  <r>
    <x v="300"/>
  </r>
  <r>
    <x v="301"/>
  </r>
  <r>
    <x v="302"/>
  </r>
  <r>
    <x v="303"/>
  </r>
  <r>
    <x v="304"/>
  </r>
  <r>
    <x v="305"/>
  </r>
  <r>
    <x v="306"/>
  </r>
  <r>
    <x v="307"/>
  </r>
  <r>
    <x v="308"/>
  </r>
  <r>
    <x v="309"/>
  </r>
  <r>
    <x v="310"/>
  </r>
  <r>
    <x v="311"/>
  </r>
  <r>
    <x v="312"/>
  </r>
  <r>
    <x v="313"/>
  </r>
  <r>
    <x v="314"/>
  </r>
  <r>
    <x v="315"/>
  </r>
  <r>
    <x v="316"/>
  </r>
  <r>
    <x v="317"/>
  </r>
  <r>
    <x v="318"/>
  </r>
  <r>
    <x v="319"/>
  </r>
  <r>
    <x v="320"/>
  </r>
  <r>
    <x v="321"/>
  </r>
  <r>
    <x v="322"/>
  </r>
  <r>
    <x v="323"/>
  </r>
  <r>
    <x v="324"/>
  </r>
  <r>
    <x v="325"/>
  </r>
  <r>
    <x v="326"/>
  </r>
  <r>
    <x v="327"/>
  </r>
  <r>
    <x v="328"/>
  </r>
  <r>
    <x v="329"/>
  </r>
  <r>
    <x v="330"/>
  </r>
  <r>
    <x v="331"/>
  </r>
  <r>
    <x v="332"/>
  </r>
  <r>
    <x v="333"/>
  </r>
  <r>
    <x v="334"/>
  </r>
  <r>
    <x v="335"/>
  </r>
  <r>
    <x v="336"/>
  </r>
  <r>
    <x v="337"/>
  </r>
  <r>
    <x v="338"/>
  </r>
  <r>
    <x v="339"/>
  </r>
  <r>
    <x v="340"/>
  </r>
  <r>
    <x v="341"/>
  </r>
  <r>
    <x v="342"/>
  </r>
  <r>
    <x v="343"/>
  </r>
  <r>
    <x v="344"/>
  </r>
  <r>
    <x v="345"/>
  </r>
  <r>
    <x v="346"/>
  </r>
  <r>
    <x v="347"/>
  </r>
  <r>
    <x v="348"/>
  </r>
  <r>
    <x v="349"/>
  </r>
  <r>
    <x v="350"/>
  </r>
  <r>
    <x v="351"/>
  </r>
  <r>
    <x v="352"/>
  </r>
  <r>
    <x v="353"/>
  </r>
  <r>
    <x v="354"/>
  </r>
  <r>
    <x v="355"/>
  </r>
  <r>
    <x v="356"/>
  </r>
  <r>
    <x v="357"/>
  </r>
  <r>
    <x v="358"/>
  </r>
  <r>
    <x v="359"/>
  </r>
  <r>
    <x v="360"/>
  </r>
  <r>
    <x v="361"/>
  </r>
  <r>
    <x v="362"/>
  </r>
  <r>
    <x v="363"/>
  </r>
  <r>
    <x v="364"/>
  </r>
  <r>
    <x v="365"/>
  </r>
  <r>
    <x v="366"/>
  </r>
  <r>
    <x v="367"/>
  </r>
  <r>
    <x v="368"/>
  </r>
  <r>
    <x v="369"/>
  </r>
  <r>
    <x v="370"/>
  </r>
  <r>
    <x v="371"/>
  </r>
  <r>
    <x v="372"/>
  </r>
  <r>
    <x v="373"/>
  </r>
  <r>
    <x v="374"/>
  </r>
  <r>
    <x v="375"/>
  </r>
  <r>
    <x v="376"/>
  </r>
  <r>
    <x v="377"/>
  </r>
  <r>
    <x v="378"/>
  </r>
  <r>
    <x v="379"/>
  </r>
  <r>
    <x v="380"/>
  </r>
  <r>
    <x v="381"/>
  </r>
  <r>
    <x v="382"/>
  </r>
  <r>
    <x v="383"/>
  </r>
  <r>
    <x v="384"/>
  </r>
  <r>
    <x v="385"/>
  </r>
  <r>
    <x v="386"/>
  </r>
  <r>
    <x v="387"/>
  </r>
  <r>
    <x v="388"/>
  </r>
  <r>
    <x v="389"/>
  </r>
  <r>
    <x v="390"/>
  </r>
  <r>
    <x v="391"/>
  </r>
  <r>
    <x v="392"/>
  </r>
  <r>
    <x v="393"/>
  </r>
  <r>
    <x v="394"/>
  </r>
  <r>
    <x v="395"/>
  </r>
  <r>
    <x v="396"/>
  </r>
  <r>
    <x v="397"/>
  </r>
  <r>
    <x v="398"/>
  </r>
  <r>
    <x v="399"/>
  </r>
  <r>
    <x v="400"/>
  </r>
  <r>
    <x v="401"/>
  </r>
  <r>
    <x v="402"/>
  </r>
  <r>
    <x v="403"/>
  </r>
  <r>
    <x v="404"/>
  </r>
  <r>
    <x v="405"/>
  </r>
  <r>
    <x v="406"/>
  </r>
  <r>
    <x v="407"/>
  </r>
  <r>
    <x v="408"/>
  </r>
  <r>
    <x v="409"/>
  </r>
  <r>
    <x v="410"/>
  </r>
  <r>
    <x v="411"/>
  </r>
  <r>
    <x v="412"/>
  </r>
  <r>
    <x v="413"/>
  </r>
  <r>
    <x v="414"/>
  </r>
  <r>
    <x v="415"/>
  </r>
  <r>
    <x v="416"/>
  </r>
  <r>
    <x v="417"/>
  </r>
  <r>
    <x v="418"/>
  </r>
  <r>
    <x v="419"/>
  </r>
  <r>
    <x v="420"/>
  </r>
  <r>
    <x v="421"/>
  </r>
  <r>
    <x v="422"/>
  </r>
  <r>
    <x v="423"/>
  </r>
  <r>
    <x v="424"/>
  </r>
  <r>
    <x v="425"/>
  </r>
  <r>
    <x v="426"/>
  </r>
  <r>
    <x v="427"/>
  </r>
  <r>
    <x v="428"/>
  </r>
  <r>
    <x v="429"/>
  </r>
  <r>
    <x v="430"/>
  </r>
  <r>
    <x v="431"/>
  </r>
  <r>
    <x v="432"/>
  </r>
  <r>
    <x v="433"/>
  </r>
  <r>
    <x v="434"/>
  </r>
  <r>
    <x v="435"/>
  </r>
  <r>
    <x v="436"/>
  </r>
  <r>
    <x v="437"/>
  </r>
  <r>
    <x v="438"/>
  </r>
  <r>
    <x v="439"/>
  </r>
  <r>
    <x v="440"/>
  </r>
  <r>
    <x v="441"/>
  </r>
  <r>
    <x v="442"/>
  </r>
  <r>
    <x v="443"/>
  </r>
  <r>
    <x v="444"/>
  </r>
  <r>
    <x v="445"/>
  </r>
  <r>
    <x v="446"/>
  </r>
  <r>
    <x v="447"/>
  </r>
  <r>
    <x v="448"/>
  </r>
  <r>
    <x v="449"/>
  </r>
  <r>
    <x v="450"/>
  </r>
  <r>
    <x v="451"/>
  </r>
  <r>
    <x v="452"/>
  </r>
  <r>
    <x v="453"/>
  </r>
  <r>
    <x v="454"/>
  </r>
  <r>
    <x v="455"/>
  </r>
  <r>
    <x v="456"/>
  </r>
  <r>
    <x v="457"/>
  </r>
  <r>
    <x v="458"/>
  </r>
  <r>
    <x v="459"/>
  </r>
  <r>
    <x v="460"/>
  </r>
  <r>
    <x v="461"/>
  </r>
  <r>
    <x v="462"/>
  </r>
  <r>
    <x v="463"/>
  </r>
  <r>
    <x v="464"/>
  </r>
  <r>
    <x v="465"/>
  </r>
  <r>
    <x v="466"/>
  </r>
  <r>
    <x v="467"/>
  </r>
  <r>
    <x v="468"/>
  </r>
  <r>
    <x v="469"/>
  </r>
  <r>
    <x v="470"/>
  </r>
  <r>
    <x v="471"/>
  </r>
  <r>
    <x v="472"/>
  </r>
  <r>
    <x v="473"/>
  </r>
  <r>
    <x v="474"/>
  </r>
  <r>
    <x v="475"/>
  </r>
  <r>
    <x v="476"/>
  </r>
  <r>
    <x v="477"/>
  </r>
  <r>
    <x v="478"/>
  </r>
  <r>
    <x v="479"/>
  </r>
  <r>
    <x v="480"/>
  </r>
  <r>
    <x v="481"/>
  </r>
  <r>
    <x v="482"/>
  </r>
  <r>
    <x v="483"/>
  </r>
  <r>
    <x v="484"/>
  </r>
  <r>
    <x v="485"/>
  </r>
  <r>
    <x v="486"/>
  </r>
  <r>
    <x v="487"/>
  </r>
  <r>
    <x v="488"/>
  </r>
  <r>
    <x v="489"/>
  </r>
  <r>
    <x v="490"/>
  </r>
  <r>
    <x v="491"/>
  </r>
  <r>
    <x v="492"/>
  </r>
  <r>
    <x v="493"/>
  </r>
  <r>
    <x v="494"/>
  </r>
  <r>
    <x v="495"/>
  </r>
  <r>
    <x v="496"/>
  </r>
  <r>
    <x v="497"/>
  </r>
  <r>
    <x v="498"/>
  </r>
  <r>
    <x v="499"/>
  </r>
  <r>
    <x v="500"/>
  </r>
  <r>
    <x v="501"/>
  </r>
  <r>
    <x v="502"/>
  </r>
  <r>
    <x v="503"/>
  </r>
  <r>
    <x v="504"/>
  </r>
  <r>
    <x v="505"/>
  </r>
  <r>
    <x v="506"/>
  </r>
  <r>
    <x v="507"/>
  </r>
  <r>
    <x v="508"/>
  </r>
  <r>
    <x v="509"/>
  </r>
  <r>
    <x v="510"/>
  </r>
  <r>
    <x v="511"/>
  </r>
  <r>
    <x v="512"/>
  </r>
  <r>
    <x v="513"/>
  </r>
  <r>
    <x v="514"/>
  </r>
  <r>
    <x v="515"/>
  </r>
  <r>
    <x v="516"/>
  </r>
  <r>
    <x v="517"/>
  </r>
  <r>
    <x v="518"/>
  </r>
  <r>
    <x v="519"/>
  </r>
  <r>
    <x v="520"/>
  </r>
  <r>
    <x v="521"/>
  </r>
  <r>
    <x v="522"/>
  </r>
  <r>
    <x v="523"/>
  </r>
  <r>
    <x v="524"/>
  </r>
  <r>
    <x v="525"/>
  </r>
  <r>
    <x v="526"/>
  </r>
  <r>
    <x v="527"/>
  </r>
  <r>
    <x v="528"/>
  </r>
  <r>
    <x v="529"/>
  </r>
  <r>
    <x v="530"/>
  </r>
  <r>
    <x v="531"/>
  </r>
  <r>
    <x v="532"/>
  </r>
  <r>
    <x v="533"/>
  </r>
  <r>
    <x v="534"/>
  </r>
  <r>
    <x v="535"/>
  </r>
  <r>
    <x v="536"/>
  </r>
  <r>
    <x v="537"/>
  </r>
  <r>
    <x v="538"/>
  </r>
  <r>
    <x v="5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11297F-8B4D-49F8-9AF6-73C2BADDB5EC}" name="ピボットテーブル1" cacheId="0"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P1:Q541" firstHeaderRow="1" firstDataRow="1" firstDataCol="1"/>
  <pivotFields count="1">
    <pivotField axis="axisRow" dataField="1" showAll="0">
      <items count="5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t="default"/>
      </items>
    </pivotField>
  </pivotFields>
  <rowFields count="1">
    <field x="0"/>
  </rowFields>
  <rowItems count="5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t="grand">
      <x/>
    </i>
  </rowItems>
  <colItems count="1">
    <i/>
  </colItems>
  <dataFields count="1">
    <dataField name="個数 / Number" fld="0" subtotal="count" baseField="0" baseItem="0"/>
  </dataFields>
  <formats count="32">
    <format dxfId="33">
      <pivotArea type="all" dataOnly="0" outline="0" fieldPosition="0"/>
    </format>
    <format dxfId="32">
      <pivotArea outline="0" collapsedLevelsAreSubtotals="1" fieldPosition="0"/>
    </format>
    <format dxfId="31">
      <pivotArea field="0" type="button" dataOnly="0" labelOnly="1" outline="0" axis="axisRow" fieldPosition="0"/>
    </format>
    <format dxfId="30">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9">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8">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7">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6">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5">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4">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3">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2">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1">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0">
      <pivotArea dataOnly="0" labelOnly="1" fieldPosition="0">
        <references count="1">
          <reference field="0" count="39">
            <x v="500"/>
            <x v="501"/>
            <x v="502"/>
            <x v="503"/>
            <x v="504"/>
            <x v="505"/>
            <x v="506"/>
            <x v="507"/>
            <x v="508"/>
            <x v="509"/>
            <x v="510"/>
            <x v="511"/>
            <x v="512"/>
            <x v="513"/>
            <x v="514"/>
            <x v="515"/>
            <x v="516"/>
            <x v="517"/>
            <x v="518"/>
            <x v="519"/>
            <x v="520"/>
            <x v="521"/>
            <x v="522"/>
            <x v="523"/>
            <x v="524"/>
            <x v="525"/>
            <x v="526"/>
            <x v="527"/>
            <x v="528"/>
            <x v="529"/>
            <x v="530"/>
            <x v="531"/>
            <x v="532"/>
            <x v="533"/>
            <x v="534"/>
            <x v="535"/>
            <x v="536"/>
            <x v="537"/>
            <x v="538"/>
          </reference>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2">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1">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0">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9">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8">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7">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6">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5">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
      <pivotArea dataOnly="0" labelOnly="1" fieldPosition="0">
        <references count="1">
          <reference field="0" count="39">
            <x v="500"/>
            <x v="501"/>
            <x v="502"/>
            <x v="503"/>
            <x v="504"/>
            <x v="505"/>
            <x v="506"/>
            <x v="507"/>
            <x v="508"/>
            <x v="509"/>
            <x v="510"/>
            <x v="511"/>
            <x v="512"/>
            <x v="513"/>
            <x v="514"/>
            <x v="515"/>
            <x v="516"/>
            <x v="517"/>
            <x v="518"/>
            <x v="519"/>
            <x v="520"/>
            <x v="521"/>
            <x v="522"/>
            <x v="523"/>
            <x v="524"/>
            <x v="525"/>
            <x v="526"/>
            <x v="527"/>
            <x v="528"/>
            <x v="529"/>
            <x v="530"/>
            <x v="531"/>
            <x v="532"/>
            <x v="533"/>
            <x v="534"/>
            <x v="535"/>
            <x v="536"/>
            <x v="537"/>
            <x v="538"/>
          </reference>
        </references>
      </pivotArea>
    </format>
    <format dxfId="3">
      <pivotArea dataOnly="0" labelOnly="1" grandRow="1" outline="0"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holylandtokyo.com/2023/09/28/5070/"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61"/>
  <sheetViews>
    <sheetView tabSelected="1" zoomScaleNormal="100" workbookViewId="0">
      <pane ySplit="1" topLeftCell="A512" activePane="bottomLeft" state="frozen"/>
      <selection pane="bottomLeft" activeCell="B519" sqref="B519"/>
    </sheetView>
  </sheetViews>
  <sheetFormatPr defaultRowHeight="13.5" x14ac:dyDescent="0.15"/>
  <cols>
    <col min="1" max="1" width="13.625" bestFit="1" customWidth="1"/>
    <col min="2" max="2" width="97.375" customWidth="1"/>
    <col min="4" max="4" width="9" style="1"/>
    <col min="8" max="8" width="9.5" bestFit="1" customWidth="1"/>
    <col min="11" max="11" width="9" style="3"/>
  </cols>
  <sheetData>
    <row r="1" spans="1:10" x14ac:dyDescent="0.15">
      <c r="A1" t="s">
        <v>1579</v>
      </c>
      <c r="B1" t="s">
        <v>1580</v>
      </c>
      <c r="C1" t="s">
        <v>1581</v>
      </c>
      <c r="D1" s="1" t="s">
        <v>1582</v>
      </c>
      <c r="E1" t="s">
        <v>1583</v>
      </c>
      <c r="F1" t="s">
        <v>1584</v>
      </c>
      <c r="G1" t="s">
        <v>1634</v>
      </c>
      <c r="H1" t="s">
        <v>1585</v>
      </c>
      <c r="I1" t="s">
        <v>1586</v>
      </c>
      <c r="J1" t="s">
        <v>1587</v>
      </c>
    </row>
    <row r="2" spans="1:10" ht="27" x14ac:dyDescent="0.15">
      <c r="A2" s="1" t="s">
        <v>469</v>
      </c>
      <c r="B2" s="2" t="s">
        <v>0</v>
      </c>
      <c r="C2">
        <f t="shared" ref="C2:C69" si="0">LEN(B2)</f>
        <v>97</v>
      </c>
      <c r="D2" t="s">
        <v>1044</v>
      </c>
      <c r="E2" t="str" cm="1">
        <f t="array" ref="E2">_xlfn.IFS(IFERROR(FIND("M-3SII",B2),-1)&gt;0,"J_M3S2",IFERROR(FIND("M-V",B2),-1)&gt;0,"J_M5",IFERROR(FIND("M-4S",B2),-1)&gt;0,"J_M4S",IFERROR(FIND("M-3C",B2),-1)&gt;0,"J_M3C",IFERROR(FIND("M-3S",B2),-1)&gt;0,"J_M3S",IFERROR(FIND("M-3H",B2),-1)&gt;0,"J_M3H",IFERROR(FIND("H-IIA",B2),-1)&gt;0,"J_H2A",IFERROR(FIND("H-IIB",B2),-1)&gt;0,"J_H2B",IFERROR(FIND("H-II",B2),-1)&gt;0,"J_H2",IFERROR(FIND("H-I",B2),-1)&gt;0,"J_H1",IFERROR(FIND("N-II",B2),-1)&gt;0,"J_N2",IFERROR(FIND("N-I",B2),-1)&gt;0,"J_N1",IFERROR(FIND("イプシロン",B2),-1)&gt;0,"J_E",TRUE,"")</f>
        <v/>
      </c>
      <c r="G2" t="str">
        <f>IF(E2&lt;&gt;"",E2&amp;"_"&amp;F2,"")</f>
        <v/>
      </c>
    </row>
    <row r="3" spans="1:10" ht="27" x14ac:dyDescent="0.15">
      <c r="A3" s="1" t="s">
        <v>470</v>
      </c>
      <c r="B3" s="2" t="s">
        <v>1</v>
      </c>
      <c r="C3">
        <f t="shared" si="0"/>
        <v>94</v>
      </c>
      <c r="D3" t="s">
        <v>1045</v>
      </c>
      <c r="E3" t="str" cm="1">
        <f t="array" ref="E3">_xlfn.IFS(IFERROR(FIND("M-3SII",B3),-1)&gt;0,"J_M3S2",IFERROR(FIND("M-V",B3),-1)&gt;0,"J_M5",IFERROR(FIND("M-4S",B3),-1)&gt;0,"J_M4S",IFERROR(FIND("M-3C",B3),-1)&gt;0,"J_M3C",IFERROR(FIND("M-3S",B3),-1)&gt;0,"J_M3S",IFERROR(FIND("M-3H",B3),-1)&gt;0,"J_M3H",IFERROR(FIND("H-IIA",B3),-1)&gt;0,"J_H2A",IFERROR(FIND("H-IIB",B3),-1)&gt;0,"J_H2B",IFERROR(FIND("H-II",B3),-1)&gt;0,"J_H2",IFERROR(FIND("H-I",B3),-1)&gt;0,"J_H1",IFERROR(FIND("N-II",B3),-1)&gt;0,"J_N2",IFERROR(FIND("N-I",B3),-1)&gt;0,"J_N1",IFERROR(FIND("イプシロン",B3),-1)&gt;0,"J_E",TRUE,"")</f>
        <v/>
      </c>
      <c r="G3" t="str">
        <f t="shared" ref="G3:G70" si="1">IF(E3&lt;&gt;"",E3&amp;"_"&amp;F3,"")</f>
        <v/>
      </c>
    </row>
    <row r="4" spans="1:10" ht="27" x14ac:dyDescent="0.15">
      <c r="A4" s="1" t="s">
        <v>471</v>
      </c>
      <c r="B4" s="2" t="s">
        <v>2</v>
      </c>
      <c r="C4">
        <f t="shared" si="0"/>
        <v>96</v>
      </c>
      <c r="D4" t="s">
        <v>1046</v>
      </c>
      <c r="E4" t="str" cm="1">
        <f t="array" ref="E4">_xlfn.IFS(IFERROR(FIND("M-3SII",B4),-1)&gt;0,"J_M3S2",IFERROR(FIND("M-V",B4),-1)&gt;0,"J_M5",IFERROR(FIND("M-4S",B4),-1)&gt;0,"J_M4S",IFERROR(FIND("M-3C",B4),-1)&gt;0,"J_M3C",IFERROR(FIND("M-3S",B4),-1)&gt;0,"J_M3S",IFERROR(FIND("M-3H",B4),-1)&gt;0,"J_M3H",IFERROR(FIND("H-IIA",B4),-1)&gt;0,"J_H2A",IFERROR(FIND("H-IIB",B4),-1)&gt;0,"J_H2B",IFERROR(FIND("H-II",B4),-1)&gt;0,"J_H2",IFERROR(FIND("H-I",B4),-1)&gt;0,"J_H1",IFERROR(FIND("N-II",B4),-1)&gt;0,"J_N2",IFERROR(FIND("N-I",B4),-1)&gt;0,"J_N1",IFERROR(FIND("イプシロン",B4),-1)&gt;0,"J_E",TRUE,"")</f>
        <v/>
      </c>
      <c r="G4" t="str">
        <f t="shared" si="1"/>
        <v/>
      </c>
    </row>
    <row r="5" spans="1:10" ht="27" x14ac:dyDescent="0.15">
      <c r="A5" s="1" t="s">
        <v>472</v>
      </c>
      <c r="B5" s="2" t="s">
        <v>3</v>
      </c>
      <c r="C5">
        <f t="shared" si="0"/>
        <v>99</v>
      </c>
      <c r="D5" t="s">
        <v>1047</v>
      </c>
      <c r="E5" t="str" cm="1">
        <f t="array" ref="E5">_xlfn.IFS(IFERROR(FIND("M-3SII",B5),-1)&gt;0,"J_M3S2",IFERROR(FIND("M-V",B5),-1)&gt;0,"J_M5",IFERROR(FIND("M-4S",B5),-1)&gt;0,"J_M4S",IFERROR(FIND("M-3C",B5),-1)&gt;0,"J_M3C",IFERROR(FIND("M-3S",B5),-1)&gt;0,"J_M3S",IFERROR(FIND("M-3H",B5),-1)&gt;0,"J_M3H",IFERROR(FIND("H-IIA",B5),-1)&gt;0,"J_H2A",IFERROR(FIND("H-IIB",B5),-1)&gt;0,"J_H2B",IFERROR(FIND("H-II",B5),-1)&gt;0,"J_H2",IFERROR(FIND("H-I",B5),-1)&gt;0,"J_H1",IFERROR(FIND("N-II",B5),-1)&gt;0,"J_N2",IFERROR(FIND("N-I",B5),-1)&gt;0,"J_N1",IFERROR(FIND("イプシロン",B5),-1)&gt;0,"J_E",TRUE,"")</f>
        <v/>
      </c>
      <c r="G5" t="str">
        <f t="shared" si="1"/>
        <v/>
      </c>
    </row>
    <row r="6" spans="1:10" ht="27" x14ac:dyDescent="0.15">
      <c r="A6" s="1" t="s">
        <v>473</v>
      </c>
      <c r="B6" s="2" t="s">
        <v>4</v>
      </c>
      <c r="C6">
        <f t="shared" si="0"/>
        <v>73</v>
      </c>
      <c r="D6" t="s">
        <v>1048</v>
      </c>
      <c r="E6" t="str" cm="1">
        <f t="array" ref="E6">_xlfn.IFS(IFERROR(FIND("M-3SII",B6),-1)&gt;0,"J_M3S2",IFERROR(FIND("M-V",B6),-1)&gt;0,"J_M5",IFERROR(FIND("M-4S",B6),-1)&gt;0,"J_M4S",IFERROR(FIND("M-3C",B6),-1)&gt;0,"J_M3C",IFERROR(FIND("M-3S",B6),-1)&gt;0,"J_M3S",IFERROR(FIND("M-3H",B6),-1)&gt;0,"J_M3H",IFERROR(FIND("H-IIA",B6),-1)&gt;0,"J_H2A",IFERROR(FIND("H-IIB",B6),-1)&gt;0,"J_H2B",IFERROR(FIND("H-II",B6),-1)&gt;0,"J_H2",IFERROR(FIND("H-I",B6),-1)&gt;0,"J_H1",IFERROR(FIND("N-II",B6),-1)&gt;0,"J_N2",IFERROR(FIND("N-I",B6),-1)&gt;0,"J_N1",IFERROR(FIND("イプシロン",B6),-1)&gt;0,"J_E",TRUE,"")</f>
        <v/>
      </c>
      <c r="G6" t="str">
        <f t="shared" si="1"/>
        <v/>
      </c>
    </row>
    <row r="7" spans="1:10" ht="27" x14ac:dyDescent="0.15">
      <c r="A7" s="1" t="s">
        <v>474</v>
      </c>
      <c r="B7" s="2" t="s">
        <v>5</v>
      </c>
      <c r="C7">
        <f t="shared" si="0"/>
        <v>83</v>
      </c>
      <c r="D7" t="s">
        <v>1049</v>
      </c>
      <c r="E7" t="str" cm="1">
        <f t="array" ref="E7">_xlfn.IFS(IFERROR(FIND("M-3SII",B7),-1)&gt;0,"J_M3S2",IFERROR(FIND("M-V",B7),-1)&gt;0,"J_M5",IFERROR(FIND("M-4S",B7),-1)&gt;0,"J_M4S",IFERROR(FIND("M-3C",B7),-1)&gt;0,"J_M3C",IFERROR(FIND("M-3S",B7),-1)&gt;0,"J_M3S",IFERROR(FIND("M-3H",B7),-1)&gt;0,"J_M3H",IFERROR(FIND("H-IIA",B7),-1)&gt;0,"J_H2A",IFERROR(FIND("H-IIB",B7),-1)&gt;0,"J_H2B",IFERROR(FIND("H-II",B7),-1)&gt;0,"J_H2",IFERROR(FIND("H-I",B7),-1)&gt;0,"J_H1",IFERROR(FIND("N-II",B7),-1)&gt;0,"J_N2",IFERROR(FIND("N-I",B7),-1)&gt;0,"J_N1",IFERROR(FIND("イプシロン",B7),-1)&gt;0,"J_E",TRUE,"")</f>
        <v/>
      </c>
      <c r="G7" t="str">
        <f t="shared" si="1"/>
        <v/>
      </c>
    </row>
    <row r="8" spans="1:10" ht="27" x14ac:dyDescent="0.15">
      <c r="A8" s="1" t="s">
        <v>475</v>
      </c>
      <c r="B8" s="2" t="s">
        <v>6</v>
      </c>
      <c r="C8">
        <f t="shared" si="0"/>
        <v>105</v>
      </c>
      <c r="D8" t="s">
        <v>1050</v>
      </c>
      <c r="E8" t="str" cm="1">
        <f t="array" ref="E8">_xlfn.IFS(IFERROR(FIND("M-3SII",B8),-1)&gt;0,"J_M3S2",IFERROR(FIND("M-V",B8),-1)&gt;0,"J_M5",IFERROR(FIND("M-4S",B8),-1)&gt;0,"J_M4S",IFERROR(FIND("M-3C",B8),-1)&gt;0,"J_M3C",IFERROR(FIND("M-3S",B8),-1)&gt;0,"J_M3S",IFERROR(FIND("M-3H",B8),-1)&gt;0,"J_M3H",IFERROR(FIND("H-IIA",B8),-1)&gt;0,"J_H2A",IFERROR(FIND("H-IIB",B8),-1)&gt;0,"J_H2B",IFERROR(FIND("H-II",B8),-1)&gt;0,"J_H2",IFERROR(FIND("H-I",B8),-1)&gt;0,"J_H1",IFERROR(FIND("N-II",B8),-1)&gt;0,"J_N2",IFERROR(FIND("N-I",B8),-1)&gt;0,"J_N1",IFERROR(FIND("イプシロン",B8),-1)&gt;0,"J_E",TRUE,"")</f>
        <v/>
      </c>
      <c r="G8" t="str">
        <f t="shared" si="1"/>
        <v/>
      </c>
    </row>
    <row r="9" spans="1:10" ht="27" x14ac:dyDescent="0.15">
      <c r="A9" s="1" t="s">
        <v>477</v>
      </c>
      <c r="B9" s="2" t="s">
        <v>8</v>
      </c>
      <c r="C9">
        <f t="shared" si="0"/>
        <v>90</v>
      </c>
      <c r="D9" t="s">
        <v>1051</v>
      </c>
      <c r="E9" t="s">
        <v>1588</v>
      </c>
      <c r="F9">
        <v>1</v>
      </c>
      <c r="G9" t="str">
        <f t="shared" si="1"/>
        <v>J_M3S2_1</v>
      </c>
    </row>
    <row r="10" spans="1:10" x14ac:dyDescent="0.15">
      <c r="A10" s="1" t="s">
        <v>476</v>
      </c>
      <c r="B10" s="2" t="s">
        <v>7</v>
      </c>
      <c r="C10">
        <f t="shared" si="0"/>
        <v>57</v>
      </c>
      <c r="D10" t="s">
        <v>1043</v>
      </c>
      <c r="E10" t="str" cm="1">
        <f t="array" ref="E10">_xlfn.IFS(IFERROR(FIND("M-3SII",B10),-1)&gt;0,"J_M3S2",IFERROR(FIND("M-V",B10),-1)&gt;0,"J_M5",IFERROR(FIND("M-4S",B10),-1)&gt;0,"J_M4S",IFERROR(FIND("M-3C",B10),-1)&gt;0,"J_M3C",IFERROR(FIND("M-3S",B10),-1)&gt;0,"J_M3S",IFERROR(FIND("M-3H",B10),-1)&gt;0,"J_M3H",IFERROR(FIND("H-IIA",B10),-1)&gt;0,"J_H2A",IFERROR(FIND("H-IIB",B10),-1)&gt;0,"J_H2B",IFERROR(FIND("H-II",B10),-1)&gt;0,"J_H2",IFERROR(FIND("H-I",B10),-1)&gt;0,"J_H1",IFERROR(FIND("N-II",B10),-1)&gt;0,"J_N2",IFERROR(FIND("N-I",B10),-1)&gt;0,"J_N1",IFERROR(FIND("イプシロン",B10),-1)&gt;0,"J_E",TRUE,"")</f>
        <v>J_M3S2</v>
      </c>
      <c r="F10">
        <v>1</v>
      </c>
      <c r="G10" t="str">
        <f t="shared" si="1"/>
        <v>J_M3S2_1</v>
      </c>
    </row>
    <row r="11" spans="1:10" ht="27" x14ac:dyDescent="0.15">
      <c r="A11" s="1" t="s">
        <v>478</v>
      </c>
      <c r="B11" s="2" t="s">
        <v>9</v>
      </c>
      <c r="C11">
        <f t="shared" si="0"/>
        <v>92</v>
      </c>
      <c r="D11" t="s">
        <v>1052</v>
      </c>
      <c r="E11" t="str" cm="1">
        <f t="array" ref="E11">_xlfn.IFS(IFERROR(FIND("M-3SII",B11),-1)&gt;0,"J_M3S2",IFERROR(FIND("M-V",B11),-1)&gt;0,"J_M5",IFERROR(FIND("M-4S",B11),-1)&gt;0,"J_M4S",IFERROR(FIND("M-3C",B11),-1)&gt;0,"J_M3C",IFERROR(FIND("M-3S",B11),-1)&gt;0,"J_M3S",IFERROR(FIND("M-3H",B11),-1)&gt;0,"J_M3H",IFERROR(FIND("H-IIA",B11),-1)&gt;0,"J_H2A",IFERROR(FIND("H-IIB",B11),-1)&gt;0,"J_H2B",IFERROR(FIND("H-II",B11),-1)&gt;0,"J_H2",IFERROR(FIND("H-I",B11),-1)&gt;0,"J_H1",IFERROR(FIND("N-II",B11),-1)&gt;0,"J_N2",IFERROR(FIND("N-I",B11),-1)&gt;0,"J_N1",IFERROR(FIND("イプシロン",B11),-1)&gt;0,"J_E",TRUE,"")</f>
        <v/>
      </c>
      <c r="G11" t="str">
        <f t="shared" si="1"/>
        <v/>
      </c>
    </row>
    <row r="12" spans="1:10" ht="27" x14ac:dyDescent="0.15">
      <c r="A12" s="1" t="s">
        <v>479</v>
      </c>
      <c r="B12" s="2" t="s">
        <v>10</v>
      </c>
      <c r="C12">
        <f t="shared" si="0"/>
        <v>100</v>
      </c>
      <c r="D12" t="s">
        <v>1053</v>
      </c>
      <c r="E12" t="str" cm="1">
        <f t="array" ref="E12">_xlfn.IFS(IFERROR(FIND("M-3SII",B12),-1)&gt;0,"J_M3S2",IFERROR(FIND("M-V",B12),-1)&gt;0,"J_M5",IFERROR(FIND("M-4S",B12),-1)&gt;0,"J_M4S",IFERROR(FIND("M-3C",B12),-1)&gt;0,"J_M3C",IFERROR(FIND("M-3S",B12),-1)&gt;0,"J_M3S",IFERROR(FIND("M-3H",B12),-1)&gt;0,"J_M3H",IFERROR(FIND("H-IIA",B12),-1)&gt;0,"J_H2A",IFERROR(FIND("H-IIB",B12),-1)&gt;0,"J_H2B",IFERROR(FIND("H-II",B12),-1)&gt;0,"J_H2",IFERROR(FIND("H-I",B12),-1)&gt;0,"J_H1",IFERROR(FIND("N-II",B12),-1)&gt;0,"J_N2",IFERROR(FIND("N-I",B12),-1)&gt;0,"J_N1",IFERROR(FIND("イプシロン",B12),-1)&gt;0,"J_E",TRUE,"")</f>
        <v/>
      </c>
      <c r="G12" t="str">
        <f t="shared" si="1"/>
        <v/>
      </c>
    </row>
    <row r="13" spans="1:10" ht="27" x14ac:dyDescent="0.15">
      <c r="A13" s="1" t="s">
        <v>480</v>
      </c>
      <c r="B13" s="2" t="s">
        <v>11</v>
      </c>
      <c r="C13">
        <f t="shared" si="0"/>
        <v>97</v>
      </c>
      <c r="D13" t="s">
        <v>1054</v>
      </c>
      <c r="G13" t="str">
        <f t="shared" si="1"/>
        <v/>
      </c>
    </row>
    <row r="14" spans="1:10" ht="27" x14ac:dyDescent="0.15">
      <c r="A14" s="1" t="s">
        <v>481</v>
      </c>
      <c r="B14" s="2" t="s">
        <v>12</v>
      </c>
      <c r="C14">
        <f t="shared" si="0"/>
        <v>108</v>
      </c>
      <c r="D14" t="s">
        <v>1055</v>
      </c>
      <c r="E14" t="str" cm="1">
        <f t="array" ref="E14">_xlfn.IFS(IFERROR(FIND("M-3SII",B14),-1)&gt;0,"J_M3S2",IFERROR(FIND("M-V",B14),-1)&gt;0,"J_M5",IFERROR(FIND("M-4S",B14),-1)&gt;0,"J_M4S",IFERROR(FIND("M-3C",B14),-1)&gt;0,"J_M3C",IFERROR(FIND("M-3S",B14),-1)&gt;0,"J_M3S",IFERROR(FIND("M-3H",B14),-1)&gt;0,"J_M3H",IFERROR(FIND("H-IIA",B14),-1)&gt;0,"J_H2A",IFERROR(FIND("H-IIB",B14),-1)&gt;0,"J_H2B",IFERROR(FIND("H-II",B14),-1)&gt;0,"J_H2",IFERROR(FIND("H-I",B14),-1)&gt;0,"J_H1",IFERROR(FIND("N-II",B14),-1)&gt;0,"J_N2",IFERROR(FIND("N-I",B14),-1)&gt;0,"J_N1",IFERROR(FIND("イプシロン",B14),-1)&gt;0,"J_E",TRUE,"")</f>
        <v/>
      </c>
      <c r="G14" t="str">
        <f t="shared" si="1"/>
        <v/>
      </c>
    </row>
    <row r="15" spans="1:10" ht="27" x14ac:dyDescent="0.15">
      <c r="A15" s="1" t="s">
        <v>482</v>
      </c>
      <c r="B15" s="2" t="s">
        <v>13</v>
      </c>
      <c r="C15">
        <f t="shared" si="0"/>
        <v>71</v>
      </c>
      <c r="D15" t="s">
        <v>1056</v>
      </c>
      <c r="E15" t="str" cm="1">
        <f t="array" ref="E15">_xlfn.IFS(IFERROR(FIND("M-3SII",B15),-1)&gt;0,"J_M3S2",IFERROR(FIND("M-V",B15),-1)&gt;0,"J_M5",IFERROR(FIND("M-4S",B15),-1)&gt;0,"J_M4S",IFERROR(FIND("M-3C",B15),-1)&gt;0,"J_M3C",IFERROR(FIND("M-3S",B15),-1)&gt;0,"J_M3S",IFERROR(FIND("M-3H",B15),-1)&gt;0,"J_M3H",IFERROR(FIND("H-IIA",B15),-1)&gt;0,"J_H2A",IFERROR(FIND("H-IIB",B15),-1)&gt;0,"J_H2B",IFERROR(FIND("H-II",B15),-1)&gt;0,"J_H2",IFERROR(FIND("H-I",B15),-1)&gt;0,"J_H1",IFERROR(FIND("N-II",B15),-1)&gt;0,"J_N2",IFERROR(FIND("N-I",B15),-1)&gt;0,"J_N1",IFERROR(FIND("イプシロン",B15),-1)&gt;0,"J_E",TRUE,"")</f>
        <v/>
      </c>
      <c r="G15" t="str">
        <f t="shared" si="1"/>
        <v/>
      </c>
    </row>
    <row r="16" spans="1:10" ht="27" x14ac:dyDescent="0.15">
      <c r="A16" s="1" t="s">
        <v>483</v>
      </c>
      <c r="B16" s="2" t="s">
        <v>14</v>
      </c>
      <c r="C16">
        <f t="shared" si="0"/>
        <v>78</v>
      </c>
      <c r="D16" t="s">
        <v>1057</v>
      </c>
      <c r="E16" t="str" cm="1">
        <f t="array" ref="E16">_xlfn.IFS(IFERROR(FIND("M-3SII",B16),-1)&gt;0,"J_M3S2",IFERROR(FIND("M-V",B16),-1)&gt;0,"J_M5",IFERROR(FIND("M-4S",B16),-1)&gt;0,"J_M4S",IFERROR(FIND("M-3C",B16),-1)&gt;0,"J_M3C",IFERROR(FIND("M-3S",B16),-1)&gt;0,"J_M3S",IFERROR(FIND("M-3H",B16),-1)&gt;0,"J_M3H",IFERROR(FIND("H-IIA",B16),-1)&gt;0,"J_H2A",IFERROR(FIND("H-IIB",B16),-1)&gt;0,"J_H2B",IFERROR(FIND("H-II",B16),-1)&gt;0,"J_H2",IFERROR(FIND("H-I",B16),-1)&gt;0,"J_H1",IFERROR(FIND("N-II",B16),-1)&gt;0,"J_N2",IFERROR(FIND("N-I",B16),-1)&gt;0,"J_N1",IFERROR(FIND("イプシロン",B16),-1)&gt;0,"J_E",TRUE,"")</f>
        <v/>
      </c>
      <c r="G16" t="str">
        <f t="shared" si="1"/>
        <v/>
      </c>
    </row>
    <row r="17" spans="1:9" ht="27" x14ac:dyDescent="0.15">
      <c r="A17" s="1" t="s">
        <v>484</v>
      </c>
      <c r="B17" s="2" t="s">
        <v>15</v>
      </c>
      <c r="C17">
        <f t="shared" si="0"/>
        <v>76</v>
      </c>
      <c r="D17" t="s">
        <v>1058</v>
      </c>
      <c r="E17" t="str" cm="1">
        <f t="array" ref="E17">_xlfn.IFS(IFERROR(FIND("M-3SII",B17),-1)&gt;0,"J_M3S2",IFERROR(FIND("M-V",B17),-1)&gt;0,"J_M5",IFERROR(FIND("M-4S",B17),-1)&gt;0,"J_M4S",IFERROR(FIND("M-3C",B17),-1)&gt;0,"J_M3C",IFERROR(FIND("M-3S",B17),-1)&gt;0,"J_M3S",IFERROR(FIND("M-3H",B17),-1)&gt;0,"J_M3H",IFERROR(FIND("H-IIA",B17),-1)&gt;0,"J_H2A",IFERROR(FIND("H-IIB",B17),-1)&gt;0,"J_H2B",IFERROR(FIND("H-II",B17),-1)&gt;0,"J_H2",IFERROR(FIND("H-I",B17),-1)&gt;0,"J_H1",IFERROR(FIND("N-II",B17),-1)&gt;0,"J_N2",IFERROR(FIND("N-I",B17),-1)&gt;0,"J_N1",IFERROR(FIND("イプシロン",B17),-1)&gt;0,"J_E",TRUE,"")</f>
        <v/>
      </c>
      <c r="G17" t="str">
        <f t="shared" si="1"/>
        <v/>
      </c>
    </row>
    <row r="18" spans="1:9" ht="27" x14ac:dyDescent="0.15">
      <c r="A18" s="1" t="s">
        <v>485</v>
      </c>
      <c r="B18" s="2" t="s">
        <v>16</v>
      </c>
      <c r="C18">
        <f t="shared" si="0"/>
        <v>106</v>
      </c>
      <c r="D18" t="s">
        <v>1409</v>
      </c>
      <c r="E18" t="str" cm="1">
        <f t="array" ref="E18">_xlfn.IFS(IFERROR(FIND("M-3SII",B18),-1)&gt;0,"J_M3S2",IFERROR(FIND("M-V",B18),-1)&gt;0,"J_M5",IFERROR(FIND("M-4S",B18),-1)&gt;0,"J_M4S",IFERROR(FIND("M-3C",B18),-1)&gt;0,"J_M3C",IFERROR(FIND("M-3S",B18),-1)&gt;0,"J_M3S",IFERROR(FIND("M-3H",B18),-1)&gt;0,"J_M3H",IFERROR(FIND("H-IIA",B18),-1)&gt;0,"J_H2A",IFERROR(FIND("H-IIB",B18),-1)&gt;0,"J_H2B",IFERROR(FIND("H-II",B18),-1)&gt;0,"J_H2",IFERROR(FIND("H-I",B18),-1)&gt;0,"J_H1",IFERROR(FIND("N-II",B18),-1)&gt;0,"J_N2",IFERROR(FIND("N-I",B18),-1)&gt;0,"J_N1",IFERROR(FIND("イプシロン",B18),-1)&gt;0,"J_E",TRUE,"")</f>
        <v>J_M3S2</v>
      </c>
      <c r="F18">
        <v>8</v>
      </c>
      <c r="G18" t="str">
        <f t="shared" si="1"/>
        <v>J_M3S2_8</v>
      </c>
    </row>
    <row r="19" spans="1:9" ht="27" x14ac:dyDescent="0.15">
      <c r="A19" s="1" t="s">
        <v>486</v>
      </c>
      <c r="B19" s="2" t="s">
        <v>17</v>
      </c>
      <c r="C19">
        <f t="shared" si="0"/>
        <v>121</v>
      </c>
      <c r="D19" t="s">
        <v>1410</v>
      </c>
      <c r="E19" t="str" cm="1">
        <f t="array" ref="E19">_xlfn.IFS(IFERROR(FIND("M-3SII",B19),-1)&gt;0,"J_M3S2",IFERROR(FIND("M-V",B19),-1)&gt;0,"J_M5",IFERROR(FIND("M-4S",B19),-1)&gt;0,"J_M4S",IFERROR(FIND("M-3C",B19),-1)&gt;0,"J_M3C",IFERROR(FIND("M-3S",B19),-1)&gt;0,"J_M3S",IFERROR(FIND("M-3H",B19),-1)&gt;0,"J_M3H",IFERROR(FIND("H-IIA",B19),-1)&gt;0,"J_H2A",IFERROR(FIND("H-IIB",B19),-1)&gt;0,"J_H2B",IFERROR(FIND("H-II",B19),-1)&gt;0,"J_H2",IFERROR(FIND("H-I",B19),-1)&gt;0,"J_H1",IFERROR(FIND("N-II",B19),-1)&gt;0,"J_N2",IFERROR(FIND("N-I",B19),-1)&gt;0,"J_N1",IFERROR(FIND("イプシロン",B19),-1)&gt;0,"J_E",TRUE,"")</f>
        <v>J_M3S2</v>
      </c>
      <c r="F19">
        <v>8</v>
      </c>
      <c r="G19" t="str">
        <f t="shared" si="1"/>
        <v>J_M3S2_8</v>
      </c>
    </row>
    <row r="20" spans="1:9" ht="27" x14ac:dyDescent="0.15">
      <c r="A20" s="1" t="s">
        <v>487</v>
      </c>
      <c r="B20" s="2" t="s">
        <v>18</v>
      </c>
      <c r="C20">
        <f t="shared" si="0"/>
        <v>81</v>
      </c>
      <c r="D20" t="s">
        <v>1059</v>
      </c>
      <c r="E20" t="str" cm="1">
        <f t="array" ref="E20">_xlfn.IFS(IFERROR(FIND("M-3SII",B20),-1)&gt;0,"J_M3S2",IFERROR(FIND("M-V",B20),-1)&gt;0,"J_M5",IFERROR(FIND("M-4S",B20),-1)&gt;0,"J_M4S",IFERROR(FIND("M-3C",B20),-1)&gt;0,"J_M3C",IFERROR(FIND("M-3S",B20),-1)&gt;0,"J_M3S",IFERROR(FIND("M-3H",B20),-1)&gt;0,"J_M3H",IFERROR(FIND("H-IIA",B20),-1)&gt;0,"J_H2A",IFERROR(FIND("H-IIB",B20),-1)&gt;0,"J_H2B",IFERROR(FIND("H-II",B20),-1)&gt;0,"J_H2",IFERROR(FIND("H-I",B20),-1)&gt;0,"J_H1",IFERROR(FIND("N-II",B20),-1)&gt;0,"J_N2",IFERROR(FIND("N-I",B20),-1)&gt;0,"J_N1",IFERROR(FIND("イプシロン",B20),-1)&gt;0,"J_E",TRUE,"")</f>
        <v/>
      </c>
      <c r="G20" t="str">
        <f t="shared" si="1"/>
        <v/>
      </c>
    </row>
    <row r="21" spans="1:9" ht="27" x14ac:dyDescent="0.15">
      <c r="A21" s="1" t="s">
        <v>488</v>
      </c>
      <c r="B21" s="2" t="s">
        <v>19</v>
      </c>
      <c r="C21">
        <f t="shared" si="0"/>
        <v>80</v>
      </c>
      <c r="D21" t="s">
        <v>1060</v>
      </c>
      <c r="E21" t="str" cm="1">
        <f t="array" ref="E21">_xlfn.IFS(IFERROR(FIND("M-3SII",B21),-1)&gt;0,"J_M3S2",IFERROR(FIND("M-V",B21),-1)&gt;0,"J_M5",IFERROR(FIND("M-4S",B21),-1)&gt;0,"J_M4S",IFERROR(FIND("M-3C",B21),-1)&gt;0,"J_M3C",IFERROR(FIND("M-3S",B21),-1)&gt;0,"J_M3S",IFERROR(FIND("M-3H",B21),-1)&gt;0,"J_M3H",IFERROR(FIND("H-IIA",B21),-1)&gt;0,"J_H2A",IFERROR(FIND("H-IIB",B21),-1)&gt;0,"J_H2B",IFERROR(FIND("H-II",B21),-1)&gt;0,"J_H2",IFERROR(FIND("H-I",B21),-1)&gt;0,"J_H1",IFERROR(FIND("N-II",B21),-1)&gt;0,"J_N2",IFERROR(FIND("N-I",B21),-1)&gt;0,"J_N1",IFERROR(FIND("イプシロン",B21),-1)&gt;0,"J_E",TRUE,"")</f>
        <v/>
      </c>
      <c r="G21" t="str">
        <f t="shared" si="1"/>
        <v/>
      </c>
    </row>
    <row r="22" spans="1:9" ht="27" x14ac:dyDescent="0.15">
      <c r="A22" s="1" t="s">
        <v>489</v>
      </c>
      <c r="B22" s="2" t="s">
        <v>20</v>
      </c>
      <c r="C22">
        <f t="shared" si="0"/>
        <v>77</v>
      </c>
      <c r="D22" t="s">
        <v>1061</v>
      </c>
      <c r="E22" t="str" cm="1">
        <f t="array" ref="E22">_xlfn.IFS(IFERROR(FIND("M-3SII",B22),-1)&gt;0,"J_M3S2",IFERROR(FIND("M-V",B22),-1)&gt;0,"J_M5",IFERROR(FIND("M-4S",B22),-1)&gt;0,"J_M4S",IFERROR(FIND("M-3C",B22),-1)&gt;0,"J_M3C",IFERROR(FIND("M-3S",B22),-1)&gt;0,"J_M3S",IFERROR(FIND("M-3H",B22),-1)&gt;0,"J_M3H",IFERROR(FIND("H-IIA",B22),-1)&gt;0,"J_H2A",IFERROR(FIND("H-IIB",B22),-1)&gt;0,"J_H2B",IFERROR(FIND("H-II",B22),-1)&gt;0,"J_H2",IFERROR(FIND("H-I",B22),-1)&gt;0,"J_H1",IFERROR(FIND("N-II",B22),-1)&gt;0,"J_N2",IFERROR(FIND("N-I",B22),-1)&gt;0,"J_N1",IFERROR(FIND("イプシロン",B22),-1)&gt;0,"J_E",TRUE,"")</f>
        <v/>
      </c>
      <c r="G22" t="str">
        <f t="shared" si="1"/>
        <v/>
      </c>
    </row>
    <row r="23" spans="1:9" ht="40.5" x14ac:dyDescent="0.15">
      <c r="A23" s="1" t="s">
        <v>490</v>
      </c>
      <c r="B23" s="2" t="s">
        <v>1021</v>
      </c>
      <c r="C23">
        <f t="shared" si="0"/>
        <v>137</v>
      </c>
      <c r="D23" t="s">
        <v>1062</v>
      </c>
      <c r="E23" t="str" cm="1">
        <f t="array" ref="E23">_xlfn.IFS(IFERROR(FIND("M-3SII",B23),-1)&gt;0,"J_M3S2",IFERROR(FIND("M-V",B23),-1)&gt;0,"J_M5",IFERROR(FIND("M-4S",B23),-1)&gt;0,"J_M4S",IFERROR(FIND("M-3C",B23),-1)&gt;0,"J_M3C",IFERROR(FIND("M-3S",B23),-1)&gt;0,"J_M3S",IFERROR(FIND("M-3H",B23),-1)&gt;0,"J_M3H",IFERROR(FIND("H-IIA",B23),-1)&gt;0,"J_H2A",IFERROR(FIND("H-IIB",B23),-1)&gt;0,"J_H2B",IFERROR(FIND("H-II",B23),-1)&gt;0,"J_H2",IFERROR(FIND("H-I",B23),-1)&gt;0,"J_H1",IFERROR(FIND("N-II",B23),-1)&gt;0,"J_N2",IFERROR(FIND("N-I",B23),-1)&gt;0,"J_N1",IFERROR(FIND("イプシロン",B23),-1)&gt;0,"J_E",TRUE,"")</f>
        <v/>
      </c>
      <c r="G23" t="str">
        <f t="shared" si="1"/>
        <v/>
      </c>
      <c r="H23">
        <v>20180404</v>
      </c>
      <c r="I23" t="s">
        <v>1018</v>
      </c>
    </row>
    <row r="24" spans="1:9" ht="27" x14ac:dyDescent="0.15">
      <c r="A24" s="1" t="s">
        <v>491</v>
      </c>
      <c r="B24" s="2" t="s">
        <v>21</v>
      </c>
      <c r="C24">
        <f t="shared" si="0"/>
        <v>106</v>
      </c>
      <c r="D24" t="s">
        <v>1063</v>
      </c>
      <c r="E24" t="str" cm="1">
        <f t="array" ref="E24">_xlfn.IFS(IFERROR(FIND("M-3SII",B24),-1)&gt;0,"J_M3S2",IFERROR(FIND("M-V",B24),-1)&gt;0,"J_M5",IFERROR(FIND("M-4S",B24),-1)&gt;0,"J_M4S",IFERROR(FIND("M-3C",B24),-1)&gt;0,"J_M3C",IFERROR(FIND("M-3S",B24),-1)&gt;0,"J_M3S",IFERROR(FIND("M-3H",B24),-1)&gt;0,"J_M3H",IFERROR(FIND("H-IIA",B24),-1)&gt;0,"J_H2A",IFERROR(FIND("H-IIB",B24),-1)&gt;0,"J_H2B",IFERROR(FIND("H-II",B24),-1)&gt;0,"J_H2",IFERROR(FIND("H-I",B24),-1)&gt;0,"J_H1",IFERROR(FIND("N-II",B24),-1)&gt;0,"J_N2",IFERROR(FIND("N-I",B24),-1)&gt;0,"J_N1",IFERROR(FIND("イプシロン",B24),-1)&gt;0,"J_E",TRUE,"")</f>
        <v/>
      </c>
      <c r="G24" t="str">
        <f t="shared" si="1"/>
        <v/>
      </c>
    </row>
    <row r="25" spans="1:9" ht="27" x14ac:dyDescent="0.15">
      <c r="A25" s="1" t="s">
        <v>492</v>
      </c>
      <c r="B25" s="2" t="s">
        <v>22</v>
      </c>
      <c r="C25">
        <f t="shared" si="0"/>
        <v>71</v>
      </c>
      <c r="D25" t="s">
        <v>1064</v>
      </c>
      <c r="E25" t="str" cm="1">
        <f t="array" ref="E25">_xlfn.IFS(IFERROR(FIND("M-3SII",B25),-1)&gt;0,"J_M3S2",IFERROR(FIND("M-V",B25),-1)&gt;0,"J_M5",IFERROR(FIND("M-4S",B25),-1)&gt;0,"J_M4S",IFERROR(FIND("M-3C",B25),-1)&gt;0,"J_M3C",IFERROR(FIND("M-3S",B25),-1)&gt;0,"J_M3S",IFERROR(FIND("M-3H",B25),-1)&gt;0,"J_M3H",IFERROR(FIND("H-IIA",B25),-1)&gt;0,"J_H2A",IFERROR(FIND("H-IIB",B25),-1)&gt;0,"J_H2B",IFERROR(FIND("H-II",B25),-1)&gt;0,"J_H2",IFERROR(FIND("H-I",B25),-1)&gt;0,"J_H1",IFERROR(FIND("N-II",B25),-1)&gt;0,"J_N2",IFERROR(FIND("N-I",B25),-1)&gt;0,"J_N1",IFERROR(FIND("イプシロン",B25),-1)&gt;0,"J_E",TRUE,"")</f>
        <v/>
      </c>
      <c r="G25" t="str">
        <f t="shared" si="1"/>
        <v/>
      </c>
    </row>
    <row r="26" spans="1:9" ht="27" x14ac:dyDescent="0.15">
      <c r="A26" s="1" t="s">
        <v>493</v>
      </c>
      <c r="B26" s="2" t="s">
        <v>23</v>
      </c>
      <c r="C26">
        <f t="shared" si="0"/>
        <v>90</v>
      </c>
      <c r="D26" t="s">
        <v>1065</v>
      </c>
      <c r="E26" t="s">
        <v>1589</v>
      </c>
      <c r="F26">
        <v>2</v>
      </c>
      <c r="G26" t="str">
        <f t="shared" si="1"/>
        <v>J_H2B_2</v>
      </c>
    </row>
    <row r="27" spans="1:9" ht="27" x14ac:dyDescent="0.15">
      <c r="A27" s="1" t="s">
        <v>494</v>
      </c>
      <c r="B27" s="2" t="s">
        <v>1039</v>
      </c>
      <c r="C27">
        <f t="shared" si="0"/>
        <v>70</v>
      </c>
      <c r="D27" t="s">
        <v>1411</v>
      </c>
      <c r="E27" t="str" cm="1">
        <f t="array" ref="E27">_xlfn.IFS(IFERROR(FIND("M-3SII",B27),-1)&gt;0,"J_M3S2",IFERROR(FIND("M-V",B27),-1)&gt;0,"J_M5",IFERROR(FIND("M-4S",B27),-1)&gt;0,"J_M4S",IFERROR(FIND("M-3C",B27),-1)&gt;0,"J_M3C",IFERROR(FIND("M-3S",B27),-1)&gt;0,"J_M3S",IFERROR(FIND("M-3H",B27),-1)&gt;0,"J_M3H",IFERROR(FIND("H-IIA",B27),-1)&gt;0,"J_H2A",IFERROR(FIND("H-IIB",B27),-1)&gt;0,"J_H2B",IFERROR(FIND("H-II",B27),-1)&gt;0,"J_H2",IFERROR(FIND("H-I",B27),-1)&gt;0,"J_H1",IFERROR(FIND("N-II",B27),-1)&gt;0,"J_N2",IFERROR(FIND("N-I",B27),-1)&gt;0,"J_N1",IFERROR(FIND("イプシロン",B27),-1)&gt;0,"J_E",TRUE,"")</f>
        <v>J_H2B</v>
      </c>
      <c r="F27">
        <v>2</v>
      </c>
      <c r="G27" t="str">
        <f t="shared" si="1"/>
        <v>J_H2B_2</v>
      </c>
    </row>
    <row r="28" spans="1:9" ht="27" x14ac:dyDescent="0.15">
      <c r="A28" s="1" t="s">
        <v>495</v>
      </c>
      <c r="B28" s="2" t="s">
        <v>24</v>
      </c>
      <c r="C28">
        <f t="shared" si="0"/>
        <v>97</v>
      </c>
      <c r="D28" t="s">
        <v>1066</v>
      </c>
      <c r="E28" t="str" cm="1">
        <f t="array" ref="E28">_xlfn.IFS(IFERROR(FIND("M-3SII",B28),-1)&gt;0,"J_M3S2",IFERROR(FIND("M-V",B28),-1)&gt;0,"J_M5",IFERROR(FIND("M-4S",B28),-1)&gt;0,"J_M4S",IFERROR(FIND("M-3C",B28),-1)&gt;0,"J_M3C",IFERROR(FIND("M-3S",B28),-1)&gt;0,"J_M3S",IFERROR(FIND("M-3H",B28),-1)&gt;0,"J_M3H",IFERROR(FIND("H-IIA",B28),-1)&gt;0,"J_H2A",IFERROR(FIND("H-IIB",B28),-1)&gt;0,"J_H2B",IFERROR(FIND("H-II",B28),-1)&gt;0,"J_H2",IFERROR(FIND("H-I",B28),-1)&gt;0,"J_H1",IFERROR(FIND("N-II",B28),-1)&gt;0,"J_N2",IFERROR(FIND("N-I",B28),-1)&gt;0,"J_N1",IFERROR(FIND("イプシロン",B28),-1)&gt;0,"J_E",TRUE,"")</f>
        <v/>
      </c>
      <c r="G28" t="str">
        <f t="shared" si="1"/>
        <v/>
      </c>
    </row>
    <row r="29" spans="1:9" ht="27" x14ac:dyDescent="0.15">
      <c r="A29" s="1" t="s">
        <v>496</v>
      </c>
      <c r="B29" s="2" t="s">
        <v>25</v>
      </c>
      <c r="C29">
        <f t="shared" si="0"/>
        <v>88</v>
      </c>
      <c r="D29" t="s">
        <v>1412</v>
      </c>
      <c r="E29" t="s">
        <v>1590</v>
      </c>
      <c r="F29">
        <v>15</v>
      </c>
      <c r="G29" t="str">
        <f t="shared" si="1"/>
        <v>J_H2A_15</v>
      </c>
    </row>
    <row r="30" spans="1:9" ht="27" x14ac:dyDescent="0.15">
      <c r="A30" s="1" t="s">
        <v>497</v>
      </c>
      <c r="B30" s="2" t="s">
        <v>26</v>
      </c>
      <c r="C30">
        <f t="shared" si="0"/>
        <v>75</v>
      </c>
      <c r="D30" t="s">
        <v>1413</v>
      </c>
      <c r="E30" t="str" cm="1">
        <f t="array" ref="E30">_xlfn.IFS(IFERROR(FIND("M-3SII",B30),-1)&gt;0,"J_M3S2",IFERROR(FIND("M-V",B30),-1)&gt;0,"J_M5",IFERROR(FIND("M-4S",B30),-1)&gt;0,"J_M4S",IFERROR(FIND("M-3C",B30),-1)&gt;0,"J_M3C",IFERROR(FIND("M-3S",B30),-1)&gt;0,"J_M3S",IFERROR(FIND("M-3H",B30),-1)&gt;0,"J_M3H",IFERROR(FIND("H-IIA",B30),-1)&gt;0,"J_H2A",IFERROR(FIND("H-IIB",B30),-1)&gt;0,"J_H2B",IFERROR(FIND("H-II",B30),-1)&gt;0,"J_H2",IFERROR(FIND("H-I",B30),-1)&gt;0,"J_H1",IFERROR(FIND("N-II",B30),-1)&gt;0,"J_N2",IFERROR(FIND("N-I",B30),-1)&gt;0,"J_N1",IFERROR(FIND("イプシロン",B30),-1)&gt;0,"J_E",TRUE,"")</f>
        <v>J_H2A</v>
      </c>
      <c r="F30">
        <v>15</v>
      </c>
      <c r="G30" t="str">
        <f t="shared" si="1"/>
        <v>J_H2A_15</v>
      </c>
    </row>
    <row r="31" spans="1:9" x14ac:dyDescent="0.15">
      <c r="A31" s="1" t="s">
        <v>498</v>
      </c>
      <c r="B31" s="2" t="s">
        <v>27</v>
      </c>
      <c r="C31">
        <f t="shared" si="0"/>
        <v>47</v>
      </c>
      <c r="D31" t="s">
        <v>1414</v>
      </c>
      <c r="E31" t="str" cm="1">
        <f t="array" ref="E31">_xlfn.IFS(IFERROR(FIND("M-3SII",B31),-1)&gt;0,"J_M3S2",IFERROR(FIND("M-V",B31),-1)&gt;0,"J_M5",IFERROR(FIND("M-4S",B31),-1)&gt;0,"J_M4S",IFERROR(FIND("M-3C",B31),-1)&gt;0,"J_M3C",IFERROR(FIND("M-3S",B31),-1)&gt;0,"J_M3S",IFERROR(FIND("M-3H",B31),-1)&gt;0,"J_M3H",IFERROR(FIND("H-IIA",B31),-1)&gt;0,"J_H2A",IFERROR(FIND("H-IIB",B31),-1)&gt;0,"J_H2B",IFERROR(FIND("H-II",B31),-1)&gt;0,"J_H2",IFERROR(FIND("H-I",B31),-1)&gt;0,"J_H1",IFERROR(FIND("N-II",B31),-1)&gt;0,"J_N2",IFERROR(FIND("N-I",B31),-1)&gt;0,"J_N1",IFERROR(FIND("イプシロン",B31),-1)&gt;0,"J_E",TRUE,"")</f>
        <v>J_H2A</v>
      </c>
      <c r="F31">
        <v>15</v>
      </c>
      <c r="G31" t="str">
        <f t="shared" si="1"/>
        <v>J_H2A_15</v>
      </c>
    </row>
    <row r="32" spans="1:9" x14ac:dyDescent="0.15">
      <c r="A32" s="1" t="s">
        <v>499</v>
      </c>
      <c r="B32" s="2" t="s">
        <v>28</v>
      </c>
      <c r="C32">
        <f t="shared" si="0"/>
        <v>50</v>
      </c>
      <c r="D32" t="s">
        <v>1415</v>
      </c>
      <c r="E32" t="str" cm="1">
        <f t="array" ref="E32">_xlfn.IFS(IFERROR(FIND("M-3SII",B32),-1)&gt;0,"J_M3S2",IFERROR(FIND("M-V",B32),-1)&gt;0,"J_M5",IFERROR(FIND("M-4S",B32),-1)&gt;0,"J_M4S",IFERROR(FIND("M-3C",B32),-1)&gt;0,"J_M3C",IFERROR(FIND("M-3S",B32),-1)&gt;0,"J_M3S",IFERROR(FIND("M-3H",B32),-1)&gt;0,"J_M3H",IFERROR(FIND("H-IIA",B32),-1)&gt;0,"J_H2A",IFERROR(FIND("H-IIB",B32),-1)&gt;0,"J_H2B",IFERROR(FIND("H-II",B32),-1)&gt;0,"J_H2",IFERROR(FIND("H-I",B32),-1)&gt;0,"J_H1",IFERROR(FIND("N-II",B32),-1)&gt;0,"J_N2",IFERROR(FIND("N-I",B32),-1)&gt;0,"J_N1",IFERROR(FIND("イプシロン",B32),-1)&gt;0,"J_E",TRUE,"")</f>
        <v>J_H2A</v>
      </c>
      <c r="F32">
        <v>15</v>
      </c>
      <c r="G32" t="str">
        <f t="shared" si="1"/>
        <v>J_H2A_15</v>
      </c>
    </row>
    <row r="33" spans="1:9" x14ac:dyDescent="0.15">
      <c r="A33" s="1" t="s">
        <v>500</v>
      </c>
      <c r="B33" s="2" t="s">
        <v>29</v>
      </c>
      <c r="C33">
        <f t="shared" si="0"/>
        <v>51</v>
      </c>
      <c r="D33" t="s">
        <v>1416</v>
      </c>
      <c r="E33" t="str" cm="1">
        <f t="array" ref="E33">_xlfn.IFS(IFERROR(FIND("M-3SII",B33),-1)&gt;0,"J_M3S2",IFERROR(FIND("M-V",B33),-1)&gt;0,"J_M5",IFERROR(FIND("M-4S",B33),-1)&gt;0,"J_M4S",IFERROR(FIND("M-3C",B33),-1)&gt;0,"J_M3C",IFERROR(FIND("M-3S",B33),-1)&gt;0,"J_M3S",IFERROR(FIND("M-3H",B33),-1)&gt;0,"J_M3H",IFERROR(FIND("H-IIA",B33),-1)&gt;0,"J_H2A",IFERROR(FIND("H-IIB",B33),-1)&gt;0,"J_H2B",IFERROR(FIND("H-II",B33),-1)&gt;0,"J_H2",IFERROR(FIND("H-I",B33),-1)&gt;0,"J_H1",IFERROR(FIND("N-II",B33),-1)&gt;0,"J_N2",IFERROR(FIND("N-I",B33),-1)&gt;0,"J_N1",IFERROR(FIND("イプシロン",B33),-1)&gt;0,"J_E",TRUE,"")</f>
        <v>J_H2A</v>
      </c>
      <c r="F33">
        <v>15</v>
      </c>
      <c r="G33" t="str">
        <f t="shared" si="1"/>
        <v>J_H2A_15</v>
      </c>
    </row>
    <row r="34" spans="1:9" x14ac:dyDescent="0.15">
      <c r="A34" s="1" t="s">
        <v>501</v>
      </c>
      <c r="B34" s="2" t="s">
        <v>30</v>
      </c>
      <c r="C34">
        <f t="shared" si="0"/>
        <v>45</v>
      </c>
      <c r="D34" t="s">
        <v>1417</v>
      </c>
      <c r="E34" t="str" cm="1">
        <f t="array" ref="E34">_xlfn.IFS(IFERROR(FIND("M-3SII",B34),-1)&gt;0,"J_M3S2",IFERROR(FIND("M-V",B34),-1)&gt;0,"J_M5",IFERROR(FIND("M-4S",B34),-1)&gt;0,"J_M4S",IFERROR(FIND("M-3C",B34),-1)&gt;0,"J_M3C",IFERROR(FIND("M-3S",B34),-1)&gt;0,"J_M3S",IFERROR(FIND("M-3H",B34),-1)&gt;0,"J_M3H",IFERROR(FIND("H-IIA",B34),-1)&gt;0,"J_H2A",IFERROR(FIND("H-IIB",B34),-1)&gt;0,"J_H2B",IFERROR(FIND("H-II",B34),-1)&gt;0,"J_H2",IFERROR(FIND("H-I",B34),-1)&gt;0,"J_H1",IFERROR(FIND("N-II",B34),-1)&gt;0,"J_N2",IFERROR(FIND("N-I",B34),-1)&gt;0,"J_N1",IFERROR(FIND("イプシロン",B34),-1)&gt;0,"J_E",TRUE,"")</f>
        <v>J_H2A</v>
      </c>
      <c r="F34">
        <v>15</v>
      </c>
      <c r="G34" t="str">
        <f t="shared" si="1"/>
        <v>J_H2A_15</v>
      </c>
    </row>
    <row r="35" spans="1:9" x14ac:dyDescent="0.15">
      <c r="A35" s="1" t="s">
        <v>502</v>
      </c>
      <c r="B35" s="2" t="s">
        <v>31</v>
      </c>
      <c r="C35">
        <f t="shared" si="0"/>
        <v>41</v>
      </c>
      <c r="D35" t="s">
        <v>1418</v>
      </c>
      <c r="E35" t="str" cm="1">
        <f t="array" ref="E35">_xlfn.IFS(IFERROR(FIND("M-3SII",B35),-1)&gt;0,"J_M3S2",IFERROR(FIND("M-V",B35),-1)&gt;0,"J_M5",IFERROR(FIND("M-4S",B35),-1)&gt;0,"J_M4S",IFERROR(FIND("M-3C",B35),-1)&gt;0,"J_M3C",IFERROR(FIND("M-3S",B35),-1)&gt;0,"J_M3S",IFERROR(FIND("M-3H",B35),-1)&gt;0,"J_M3H",IFERROR(FIND("H-IIA",B35),-1)&gt;0,"J_H2A",IFERROR(FIND("H-IIB",B35),-1)&gt;0,"J_H2B",IFERROR(FIND("H-II",B35),-1)&gt;0,"J_H2",IFERROR(FIND("H-I",B35),-1)&gt;0,"J_H1",IFERROR(FIND("N-II",B35),-1)&gt;0,"J_N2",IFERROR(FIND("N-I",B35),-1)&gt;0,"J_N1",IFERROR(FIND("イプシロン",B35),-1)&gt;0,"J_E",TRUE,"")</f>
        <v>J_H2A</v>
      </c>
      <c r="F35">
        <v>15</v>
      </c>
      <c r="G35" t="str">
        <f t="shared" si="1"/>
        <v>J_H2A_15</v>
      </c>
    </row>
    <row r="36" spans="1:9" x14ac:dyDescent="0.15">
      <c r="A36" s="1" t="s">
        <v>503</v>
      </c>
      <c r="B36" s="2" t="s">
        <v>32</v>
      </c>
      <c r="C36">
        <f t="shared" si="0"/>
        <v>41</v>
      </c>
      <c r="D36" t="s">
        <v>1419</v>
      </c>
      <c r="E36" t="str" cm="1">
        <f t="array" ref="E36">_xlfn.IFS(IFERROR(FIND("M-3SII",B36),-1)&gt;0,"J_M3S2",IFERROR(FIND("M-V",B36),-1)&gt;0,"J_M5",IFERROR(FIND("M-4S",B36),-1)&gt;0,"J_M4S",IFERROR(FIND("M-3C",B36),-1)&gt;0,"J_M3C",IFERROR(FIND("M-3S",B36),-1)&gt;0,"J_M3S",IFERROR(FIND("M-3H",B36),-1)&gt;0,"J_M3H",IFERROR(FIND("H-IIA",B36),-1)&gt;0,"J_H2A",IFERROR(FIND("H-IIB",B36),-1)&gt;0,"J_H2B",IFERROR(FIND("H-II",B36),-1)&gt;0,"J_H2",IFERROR(FIND("H-I",B36),-1)&gt;0,"J_H1",IFERROR(FIND("N-II",B36),-1)&gt;0,"J_N2",IFERROR(FIND("N-I",B36),-1)&gt;0,"J_N1",IFERROR(FIND("イプシロン",B36),-1)&gt;0,"J_E",TRUE,"")</f>
        <v>J_H2A</v>
      </c>
      <c r="F36">
        <v>15</v>
      </c>
      <c r="G36" t="str">
        <f t="shared" si="1"/>
        <v>J_H2A_15</v>
      </c>
    </row>
    <row r="37" spans="1:9" ht="27" x14ac:dyDescent="0.15">
      <c r="A37" s="1" t="s">
        <v>504</v>
      </c>
      <c r="B37" s="2" t="s">
        <v>1891</v>
      </c>
      <c r="C37">
        <f t="shared" si="0"/>
        <v>122</v>
      </c>
      <c r="D37" t="s">
        <v>1420</v>
      </c>
      <c r="E37" t="str" cm="1">
        <f t="array" ref="E37">_xlfn.IFS(IFERROR(FIND("M-3SII",B37),-1)&gt;0,"J_M3S2",IFERROR(FIND("M-V",B37),-1)&gt;0,"J_M5",IFERROR(FIND("M-4S",B37),-1)&gt;0,"J_M4S",IFERROR(FIND("M-3C",B37),-1)&gt;0,"J_M3C",IFERROR(FIND("M-3S",B37),-1)&gt;0,"J_M3S",IFERROR(FIND("M-3H",B37),-1)&gt;0,"J_M3H",IFERROR(FIND("H-IIA",B37),-1)&gt;0,"J_H2A",IFERROR(FIND("H-IIB",B37),-1)&gt;0,"J_H2B",IFERROR(FIND("H-II",B37),-1)&gt;0,"J_H2",IFERROR(FIND("H-I",B37),-1)&gt;0,"J_H1",IFERROR(FIND("N-II",B37),-1)&gt;0,"J_N2",IFERROR(FIND("N-I",B37),-1)&gt;0,"J_N1",IFERROR(FIND("イプシロン",B37),-1)&gt;0,"J_E",TRUE,"")</f>
        <v>J_H2A</v>
      </c>
      <c r="F37">
        <v>15</v>
      </c>
      <c r="G37" t="str">
        <f t="shared" si="1"/>
        <v>J_H2A_15</v>
      </c>
      <c r="H37">
        <v>20250620</v>
      </c>
      <c r="I37" t="s">
        <v>1890</v>
      </c>
    </row>
    <row r="38" spans="1:9" ht="27" x14ac:dyDescent="0.15">
      <c r="A38" s="1" t="s">
        <v>505</v>
      </c>
      <c r="B38" s="2" t="s">
        <v>1591</v>
      </c>
      <c r="C38">
        <f t="shared" si="0"/>
        <v>118</v>
      </c>
      <c r="D38" t="s">
        <v>1067</v>
      </c>
      <c r="E38" t="s">
        <v>1590</v>
      </c>
      <c r="F38">
        <v>8</v>
      </c>
      <c r="G38" t="str">
        <f t="shared" si="1"/>
        <v>J_H2A_8</v>
      </c>
    </row>
    <row r="39" spans="1:9" x14ac:dyDescent="0.15">
      <c r="A39" s="1" t="s">
        <v>507</v>
      </c>
      <c r="B39" s="2" t="s">
        <v>34</v>
      </c>
      <c r="C39">
        <f t="shared" si="0"/>
        <v>59</v>
      </c>
      <c r="D39" t="s">
        <v>1422</v>
      </c>
      <c r="E39" t="str" cm="1">
        <f t="array" ref="E39">_xlfn.IFS(IFERROR(FIND("M-3SII",B39),-1)&gt;0,"J_M3S2",IFERROR(FIND("M-V",B39),-1)&gt;0,"J_M5",IFERROR(FIND("M-4S",B39),-1)&gt;0,"J_M4S",IFERROR(FIND("M-3C",B39),-1)&gt;0,"J_M3C",IFERROR(FIND("M-3S",B39),-1)&gt;0,"J_M3S",IFERROR(FIND("M-3H",B39),-1)&gt;0,"J_M3H",IFERROR(FIND("H-IIA",B39),-1)&gt;0,"J_H2A",IFERROR(FIND("H-IIB",B39),-1)&gt;0,"J_H2B",IFERROR(FIND("H-II",B39),-1)&gt;0,"J_H2",IFERROR(FIND("H-I",B39),-1)&gt;0,"J_H1",IFERROR(FIND("N-II",B39),-1)&gt;0,"J_N2",IFERROR(FIND("N-I",B39),-1)&gt;0,"J_N1",IFERROR(FIND("イプシロン",B39),-1)&gt;0,"J_E",TRUE,"")</f>
        <v>J_H2A</v>
      </c>
      <c r="F39">
        <v>8</v>
      </c>
      <c r="G39" t="str">
        <f t="shared" si="1"/>
        <v>J_H2A_8</v>
      </c>
    </row>
    <row r="40" spans="1:9" ht="27" x14ac:dyDescent="0.15">
      <c r="A40" s="1" t="s">
        <v>506</v>
      </c>
      <c r="B40" s="2" t="s">
        <v>33</v>
      </c>
      <c r="C40">
        <f t="shared" si="0"/>
        <v>111</v>
      </c>
      <c r="D40" t="s">
        <v>1421</v>
      </c>
      <c r="E40" t="str" cm="1">
        <f t="array" ref="E40">_xlfn.IFS(IFERROR(FIND("M-3SII",B40),-1)&gt;0,"J_M3S2",IFERROR(FIND("M-V",B40),-1)&gt;0,"J_M5",IFERROR(FIND("M-4S",B40),-1)&gt;0,"J_M4S",IFERROR(FIND("M-3C",B40),-1)&gt;0,"J_M3C",IFERROR(FIND("M-3S",B40),-1)&gt;0,"J_M3S",IFERROR(FIND("M-3H",B40),-1)&gt;0,"J_M3H",IFERROR(FIND("H-IIA",B40),-1)&gt;0,"J_H2A",IFERROR(FIND("H-IIB",B40),-1)&gt;0,"J_H2B",IFERROR(FIND("H-II",B40),-1)&gt;0,"J_H2",IFERROR(FIND("H-I",B40),-1)&gt;0,"J_H1",IFERROR(FIND("N-II",B40),-1)&gt;0,"J_N2",IFERROR(FIND("N-I",B40),-1)&gt;0,"J_N1",IFERROR(FIND("イプシロン",B40),-1)&gt;0,"J_E",TRUE,"")</f>
        <v>J_M3S2</v>
      </c>
      <c r="F40">
        <v>5</v>
      </c>
      <c r="G40" t="str">
        <f t="shared" si="1"/>
        <v>J_M3S2_5</v>
      </c>
    </row>
    <row r="41" spans="1:9" x14ac:dyDescent="0.15">
      <c r="A41" s="1" t="s">
        <v>508</v>
      </c>
      <c r="B41" s="2" t="s">
        <v>35</v>
      </c>
      <c r="C41">
        <f t="shared" si="0"/>
        <v>63</v>
      </c>
      <c r="D41" t="s">
        <v>1423</v>
      </c>
      <c r="E41" t="str" cm="1">
        <f t="array" ref="E41">_xlfn.IFS(IFERROR(FIND("M-3SII",B41),-1)&gt;0,"J_M3S2",IFERROR(FIND("M-V",B41),-1)&gt;0,"J_M5",IFERROR(FIND("M-4S",B41),-1)&gt;0,"J_M4S",IFERROR(FIND("M-3C",B41),-1)&gt;0,"J_M3C",IFERROR(FIND("M-3S",B41),-1)&gt;0,"J_M3S",IFERROR(FIND("M-3H",B41),-1)&gt;0,"J_M3H",IFERROR(FIND("H-IIA",B41),-1)&gt;0,"J_H2A",IFERROR(FIND("H-IIB",B41),-1)&gt;0,"J_H2B",IFERROR(FIND("H-II",B41),-1)&gt;0,"J_H2",IFERROR(FIND("H-I",B41),-1)&gt;0,"J_H1",IFERROR(FIND("N-II",B41),-1)&gt;0,"J_N2",IFERROR(FIND("N-I",B41),-1)&gt;0,"J_N1",IFERROR(FIND("イプシロン",B41),-1)&gt;0,"J_E",TRUE,"")</f>
        <v>J_M3S2</v>
      </c>
      <c r="F41">
        <v>5</v>
      </c>
      <c r="G41" t="str">
        <f t="shared" si="1"/>
        <v>J_M3S2_5</v>
      </c>
    </row>
    <row r="42" spans="1:9" ht="27" x14ac:dyDescent="0.15">
      <c r="A42" s="1" t="s">
        <v>509</v>
      </c>
      <c r="B42" s="2" t="s">
        <v>36</v>
      </c>
      <c r="C42">
        <f t="shared" si="0"/>
        <v>101</v>
      </c>
      <c r="D42" t="s">
        <v>1068</v>
      </c>
      <c r="E42" t="str" cm="1">
        <f t="array" ref="E42">_xlfn.IFS(IFERROR(FIND("M-3SII",B42),-1)&gt;0,"J_M3S2",IFERROR(FIND("M-V",B42),-1)&gt;0,"J_M5",IFERROR(FIND("M-4S",B42),-1)&gt;0,"J_M4S",IFERROR(FIND("M-3C",B42),-1)&gt;0,"J_M3C",IFERROR(FIND("M-3S",B42),-1)&gt;0,"J_M3S",IFERROR(FIND("M-3H",B42),-1)&gt;0,"J_M3H",IFERROR(FIND("H-IIA",B42),-1)&gt;0,"J_H2A",IFERROR(FIND("H-IIB",B42),-1)&gt;0,"J_H2B",IFERROR(FIND("H-II",B42),-1)&gt;0,"J_H2",IFERROR(FIND("H-I",B42),-1)&gt;0,"J_H1",IFERROR(FIND("N-II",B42),-1)&gt;0,"J_N2",IFERROR(FIND("N-I",B42),-1)&gt;0,"J_N1",IFERROR(FIND("イプシロン",B42),-1)&gt;0,"J_E",TRUE,"")</f>
        <v/>
      </c>
      <c r="G42" t="str">
        <f t="shared" si="1"/>
        <v/>
      </c>
    </row>
    <row r="43" spans="1:9" ht="27" x14ac:dyDescent="0.15">
      <c r="A43" s="1" t="s">
        <v>510</v>
      </c>
      <c r="B43" s="2" t="s">
        <v>37</v>
      </c>
      <c r="C43">
        <f t="shared" si="0"/>
        <v>98</v>
      </c>
      <c r="D43" t="s">
        <v>1069</v>
      </c>
      <c r="E43" t="str" cm="1">
        <f t="array" ref="E43">_xlfn.IFS(IFERROR(FIND("M-3SII",B43),-1)&gt;0,"J_M3S2",IFERROR(FIND("M-V",B43),-1)&gt;0,"J_M5",IFERROR(FIND("M-4S",B43),-1)&gt;0,"J_M4S",IFERROR(FIND("M-3C",B43),-1)&gt;0,"J_M3C",IFERROR(FIND("M-3S",B43),-1)&gt;0,"J_M3S",IFERROR(FIND("M-3H",B43),-1)&gt;0,"J_M3H",IFERROR(FIND("H-IIA",B43),-1)&gt;0,"J_H2A",IFERROR(FIND("H-IIB",B43),-1)&gt;0,"J_H2B",IFERROR(FIND("H-II",B43),-1)&gt;0,"J_H2",IFERROR(FIND("H-I",B43),-1)&gt;0,"J_H1",IFERROR(FIND("N-II",B43),-1)&gt;0,"J_N2",IFERROR(FIND("N-I",B43),-1)&gt;0,"J_N1",IFERROR(FIND("イプシロン",B43),-1)&gt;0,"J_E",TRUE,"")</f>
        <v/>
      </c>
      <c r="G43" t="str">
        <f t="shared" si="1"/>
        <v/>
      </c>
    </row>
    <row r="44" spans="1:9" ht="27" x14ac:dyDescent="0.15">
      <c r="A44" s="1" t="s">
        <v>511</v>
      </c>
      <c r="B44" s="2" t="s">
        <v>1621</v>
      </c>
      <c r="C44">
        <f t="shared" si="0"/>
        <v>124</v>
      </c>
      <c r="D44" t="s">
        <v>1070</v>
      </c>
      <c r="E44" t="str" cm="1">
        <f t="array" ref="E44">_xlfn.IFS(IFERROR(FIND("M-3SII",B44),-1)&gt;0,"J_M3S2",IFERROR(FIND("M-V",B44),-1)&gt;0,"J_M5",IFERROR(FIND("M-4S",B44),-1)&gt;0,"J_M4S",IFERROR(FIND("M-3C",B44),-1)&gt;0,"J_M3C",IFERROR(FIND("M-3S",B44),-1)&gt;0,"J_M3S",IFERROR(FIND("M-3H",B44),-1)&gt;0,"J_M3H",IFERROR(FIND("H-IIA",B44),-1)&gt;0,"J_H2A",IFERROR(FIND("H-IIB",B44),-1)&gt;0,"J_H2B",IFERROR(FIND("H-II",B44),-1)&gt;0,"J_H2",IFERROR(FIND("H-I",B44),-1)&gt;0,"J_H1",IFERROR(FIND("N-II",B44),-1)&gt;0,"J_N2",IFERROR(FIND("N-I",B44),-1)&gt;0,"J_N1",IFERROR(FIND("イプシロン",B44),-1)&gt;0,"J_E",TRUE,"")</f>
        <v/>
      </c>
      <c r="G44" t="str">
        <f t="shared" si="1"/>
        <v/>
      </c>
    </row>
    <row r="45" spans="1:9" ht="40.5" x14ac:dyDescent="0.15">
      <c r="A45" s="1" t="s">
        <v>512</v>
      </c>
      <c r="B45" s="2" t="s">
        <v>38</v>
      </c>
      <c r="C45">
        <f t="shared" si="0"/>
        <v>129</v>
      </c>
      <c r="D45" t="s">
        <v>1424</v>
      </c>
      <c r="E45" t="str" cm="1">
        <f t="array" ref="E45">_xlfn.IFS(IFERROR(FIND("M-3SII",B45),-1)&gt;0,"J_M3S2",IFERROR(FIND("M-V",B45),-1)&gt;0,"J_M5",IFERROR(FIND("M-4S",B45),-1)&gt;0,"J_M4S",IFERROR(FIND("M-3C",B45),-1)&gt;0,"J_M3C",IFERROR(FIND("M-3S",B45),-1)&gt;0,"J_M3S",IFERROR(FIND("M-3H",B45),-1)&gt;0,"J_M3H",IFERROR(FIND("H-IIA",B45),-1)&gt;0,"J_H2A",IFERROR(FIND("H-IIB",B45),-1)&gt;0,"J_H2B",IFERROR(FIND("H-II",B45),-1)&gt;0,"J_H2",IFERROR(FIND("H-I",B45),-1)&gt;0,"J_H1",IFERROR(FIND("N-II",B45),-1)&gt;0,"J_N2",IFERROR(FIND("N-I",B45),-1)&gt;0,"J_N1",IFERROR(FIND("イプシロン",B45),-1)&gt;0,"J_E",TRUE,"")</f>
        <v/>
      </c>
      <c r="G45" t="str">
        <f t="shared" si="1"/>
        <v/>
      </c>
    </row>
    <row r="46" spans="1:9" ht="27" x14ac:dyDescent="0.15">
      <c r="A46" s="1" t="s">
        <v>513</v>
      </c>
      <c r="B46" s="2" t="s">
        <v>39</v>
      </c>
      <c r="C46">
        <f t="shared" si="0"/>
        <v>96</v>
      </c>
      <c r="D46" t="s">
        <v>1071</v>
      </c>
      <c r="E46" t="str" cm="1">
        <f t="array" ref="E46">_xlfn.IFS(IFERROR(FIND("M-3SII",B46),-1)&gt;0,"J_M3S2",IFERROR(FIND("M-V",B46),-1)&gt;0,"J_M5",IFERROR(FIND("M-4S",B46),-1)&gt;0,"J_M4S",IFERROR(FIND("M-3C",B46),-1)&gt;0,"J_M3C",IFERROR(FIND("M-3S",B46),-1)&gt;0,"J_M3S",IFERROR(FIND("M-3H",B46),-1)&gt;0,"J_M3H",IFERROR(FIND("H-IIA",B46),-1)&gt;0,"J_H2A",IFERROR(FIND("H-IIB",B46),-1)&gt;0,"J_H2B",IFERROR(FIND("H-II",B46),-1)&gt;0,"J_H2",IFERROR(FIND("H-I",B46),-1)&gt;0,"J_H1",IFERROR(FIND("N-II",B46),-1)&gt;0,"J_N2",IFERROR(FIND("N-I",B46),-1)&gt;0,"J_N1",IFERROR(FIND("イプシロン",B46),-1)&gt;0,"J_E",TRUE,"")</f>
        <v/>
      </c>
      <c r="G46" t="str">
        <f t="shared" si="1"/>
        <v/>
      </c>
    </row>
    <row r="47" spans="1:9" ht="27" x14ac:dyDescent="0.15">
      <c r="A47" s="1" t="s">
        <v>514</v>
      </c>
      <c r="B47" s="2" t="s">
        <v>40</v>
      </c>
      <c r="C47">
        <f t="shared" si="0"/>
        <v>92</v>
      </c>
      <c r="D47" t="s">
        <v>1072</v>
      </c>
      <c r="E47" t="str" cm="1">
        <f t="array" ref="E47">_xlfn.IFS(IFERROR(FIND("M-3SII",B47),-1)&gt;0,"J_M3S2",IFERROR(FIND("M-V",B47),-1)&gt;0,"J_M5",IFERROR(FIND("M-4S",B47),-1)&gt;0,"J_M4S",IFERROR(FIND("M-3C",B47),-1)&gt;0,"J_M3C",IFERROR(FIND("M-3S",B47),-1)&gt;0,"J_M3S",IFERROR(FIND("M-3H",B47),-1)&gt;0,"J_M3H",IFERROR(FIND("H-IIA",B47),-1)&gt;0,"J_H2A",IFERROR(FIND("H-IIB",B47),-1)&gt;0,"J_H2B",IFERROR(FIND("H-II",B47),-1)&gt;0,"J_H2",IFERROR(FIND("H-I",B47),-1)&gt;0,"J_H1",IFERROR(FIND("N-II",B47),-1)&gt;0,"J_N2",IFERROR(FIND("N-I",B47),-1)&gt;0,"J_N1",IFERROR(FIND("イプシロン",B47),-1)&gt;0,"J_E",TRUE,"")</f>
        <v/>
      </c>
      <c r="G47" t="str">
        <f t="shared" si="1"/>
        <v/>
      </c>
    </row>
    <row r="48" spans="1:9" ht="27" x14ac:dyDescent="0.15">
      <c r="A48" s="1" t="s">
        <v>515</v>
      </c>
      <c r="B48" s="2" t="s">
        <v>41</v>
      </c>
      <c r="C48">
        <f t="shared" si="0"/>
        <v>95</v>
      </c>
      <c r="D48" t="s">
        <v>1073</v>
      </c>
      <c r="E48" t="str" cm="1">
        <f t="array" ref="E48">_xlfn.IFS(IFERROR(FIND("M-3SII",B48),-1)&gt;0,"J_M3S2",IFERROR(FIND("M-V",B48),-1)&gt;0,"J_M5",IFERROR(FIND("M-4S",B48),-1)&gt;0,"J_M4S",IFERROR(FIND("M-3C",B48),-1)&gt;0,"J_M3C",IFERROR(FIND("M-3S",B48),-1)&gt;0,"J_M3S",IFERROR(FIND("M-3H",B48),-1)&gt;0,"J_M3H",IFERROR(FIND("H-IIA",B48),-1)&gt;0,"J_H2A",IFERROR(FIND("H-IIB",B48),-1)&gt;0,"J_H2B",IFERROR(FIND("H-II",B48),-1)&gt;0,"J_H2",IFERROR(FIND("H-I",B48),-1)&gt;0,"J_H1",IFERROR(FIND("N-II",B48),-1)&gt;0,"J_N2",IFERROR(FIND("N-I",B48),-1)&gt;0,"J_N1",IFERROR(FIND("イプシロン",B48),-1)&gt;0,"J_E",TRUE,"")</f>
        <v/>
      </c>
      <c r="G48" t="str">
        <f t="shared" si="1"/>
        <v/>
      </c>
    </row>
    <row r="49" spans="1:10" ht="27" x14ac:dyDescent="0.15">
      <c r="A49" s="1" t="s">
        <v>516</v>
      </c>
      <c r="B49" s="2" t="s">
        <v>42</v>
      </c>
      <c r="C49">
        <f t="shared" si="0"/>
        <v>89</v>
      </c>
      <c r="D49" t="s">
        <v>1074</v>
      </c>
      <c r="E49" t="str" cm="1">
        <f t="array" ref="E49">_xlfn.IFS(IFERROR(FIND("M-3SII",B49),-1)&gt;0,"J_M3S2",IFERROR(FIND("M-V",B49),-1)&gt;0,"J_M5",IFERROR(FIND("M-4S",B49),-1)&gt;0,"J_M4S",IFERROR(FIND("M-3C",B49),-1)&gt;0,"J_M3C",IFERROR(FIND("M-3S",B49),-1)&gt;0,"J_M3S",IFERROR(FIND("M-3H",B49),-1)&gt;0,"J_M3H",IFERROR(FIND("H-IIA",B49),-1)&gt;0,"J_H2A",IFERROR(FIND("H-IIB",B49),-1)&gt;0,"J_H2B",IFERROR(FIND("H-II",B49),-1)&gt;0,"J_H2",IFERROR(FIND("H-I",B49),-1)&gt;0,"J_H1",IFERROR(FIND("N-II",B49),-1)&gt;0,"J_N2",IFERROR(FIND("N-I",B49),-1)&gt;0,"J_N1",IFERROR(FIND("イプシロン",B49),-1)&gt;0,"J_E",TRUE,"")</f>
        <v/>
      </c>
      <c r="G49" t="str">
        <f t="shared" si="1"/>
        <v/>
      </c>
    </row>
    <row r="50" spans="1:10" ht="27" x14ac:dyDescent="0.15">
      <c r="A50" s="1" t="s">
        <v>517</v>
      </c>
      <c r="B50" s="2" t="s">
        <v>43</v>
      </c>
      <c r="C50">
        <f t="shared" si="0"/>
        <v>97</v>
      </c>
      <c r="D50" t="s">
        <v>1075</v>
      </c>
      <c r="E50" t="str" cm="1">
        <f t="array" ref="E50">_xlfn.IFS(IFERROR(FIND("M-3SII",B50),-1)&gt;0,"J_M3S2",IFERROR(FIND("M-V",B50),-1)&gt;0,"J_M5",IFERROR(FIND("M-4S",B50),-1)&gt;0,"J_M4S",IFERROR(FIND("M-3C",B50),-1)&gt;0,"J_M3C",IFERROR(FIND("M-3S",B50),-1)&gt;0,"J_M3S",IFERROR(FIND("M-3H",B50),-1)&gt;0,"J_M3H",IFERROR(FIND("H-IIA",B50),-1)&gt;0,"J_H2A",IFERROR(FIND("H-IIB",B50),-1)&gt;0,"J_H2B",IFERROR(FIND("H-II",B50),-1)&gt;0,"J_H2",IFERROR(FIND("H-I",B50),-1)&gt;0,"J_H1",IFERROR(FIND("N-II",B50),-1)&gt;0,"J_N2",IFERROR(FIND("N-I",B50),-1)&gt;0,"J_N1",IFERROR(FIND("イプシロン",B50),-1)&gt;0,"J_E",TRUE,"")</f>
        <v/>
      </c>
      <c r="G50" t="str">
        <f t="shared" si="1"/>
        <v/>
      </c>
    </row>
    <row r="51" spans="1:10" ht="27" x14ac:dyDescent="0.15">
      <c r="A51" s="1" t="s">
        <v>518</v>
      </c>
      <c r="B51" s="2" t="s">
        <v>44</v>
      </c>
      <c r="C51">
        <f t="shared" si="0"/>
        <v>94</v>
      </c>
      <c r="D51" t="s">
        <v>1076</v>
      </c>
      <c r="E51" t="str" cm="1">
        <f t="array" ref="E51">_xlfn.IFS(IFERROR(FIND("M-3SII",B51),-1)&gt;0,"J_M3S2",IFERROR(FIND("M-V",B51),-1)&gt;0,"J_M5",IFERROR(FIND("M-4S",B51),-1)&gt;0,"J_M4S",IFERROR(FIND("M-3C",B51),-1)&gt;0,"J_M3C",IFERROR(FIND("M-3S",B51),-1)&gt;0,"J_M3S",IFERROR(FIND("M-3H",B51),-1)&gt;0,"J_M3H",IFERROR(FIND("H-IIA",B51),-1)&gt;0,"J_H2A",IFERROR(FIND("H-IIB",B51),-1)&gt;0,"J_H2B",IFERROR(FIND("H-II",B51),-1)&gt;0,"J_H2",IFERROR(FIND("H-I",B51),-1)&gt;0,"J_H1",IFERROR(FIND("N-II",B51),-1)&gt;0,"J_N2",IFERROR(FIND("N-I",B51),-1)&gt;0,"J_N1",IFERROR(FIND("イプシロン",B51),-1)&gt;0,"J_E",TRUE,"")</f>
        <v/>
      </c>
      <c r="G51" t="str">
        <f t="shared" si="1"/>
        <v/>
      </c>
    </row>
    <row r="52" spans="1:10" ht="40.5" x14ac:dyDescent="0.15">
      <c r="A52" s="1" t="s">
        <v>519</v>
      </c>
      <c r="B52" s="2" t="s">
        <v>1426</v>
      </c>
      <c r="C52">
        <f t="shared" si="0"/>
        <v>136</v>
      </c>
      <c r="D52" t="s">
        <v>1425</v>
      </c>
      <c r="E52" t="str" cm="1">
        <f t="array" ref="E52">_xlfn.IFS(IFERROR(FIND("M-3SII",B52),-1)&gt;0,"J_M3S2",IFERROR(FIND("M-V",B52),-1)&gt;0,"J_M5",IFERROR(FIND("M-4S",B52),-1)&gt;0,"J_M4S",IFERROR(FIND("M-3C",B52),-1)&gt;0,"J_M3C",IFERROR(FIND("M-3S",B52),-1)&gt;0,"J_M3S",IFERROR(FIND("M-3H",B52),-1)&gt;0,"J_M3H",IFERROR(FIND("H-IIA",B52),-1)&gt;0,"J_H2A",IFERROR(FIND("H-IIB",B52),-1)&gt;0,"J_H2B",IFERROR(FIND("H-II",B52),-1)&gt;0,"J_H2",IFERROR(FIND("H-I",B52),-1)&gt;0,"J_H1",IFERROR(FIND("N-II",B52),-1)&gt;0,"J_N2",IFERROR(FIND("N-I",B52),-1)&gt;0,"J_N1",IFERROR(FIND("イプシロン",B52),-1)&gt;0,"J_E",TRUE,"")</f>
        <v/>
      </c>
      <c r="G52" t="str">
        <f t="shared" si="1"/>
        <v/>
      </c>
      <c r="H52">
        <v>20240224</v>
      </c>
      <c r="I52" t="s">
        <v>1004</v>
      </c>
      <c r="J52" t="s">
        <v>1427</v>
      </c>
    </row>
    <row r="53" spans="1:10" ht="27" x14ac:dyDescent="0.15">
      <c r="A53" s="1" t="s">
        <v>1874</v>
      </c>
      <c r="B53" s="2" t="s">
        <v>1872</v>
      </c>
      <c r="C53">
        <f t="shared" ref="C53:C54" si="2">LEN(B53)</f>
        <v>109</v>
      </c>
      <c r="D53" t="s">
        <v>1870</v>
      </c>
      <c r="E53" t="s">
        <v>1629</v>
      </c>
      <c r="F53">
        <v>5</v>
      </c>
      <c r="G53" t="str">
        <f>IF(E53&lt;&gt;"",E53&amp;"_"&amp;F53,"")</f>
        <v>J_H3_5</v>
      </c>
      <c r="H53">
        <v>20250202</v>
      </c>
      <c r="I53" t="s">
        <v>1875</v>
      </c>
    </row>
    <row r="54" spans="1:10" ht="27" x14ac:dyDescent="0.15">
      <c r="A54" s="1" t="s">
        <v>1869</v>
      </c>
      <c r="B54" s="2" t="s">
        <v>1873</v>
      </c>
      <c r="C54">
        <f t="shared" si="2"/>
        <v>119</v>
      </c>
      <c r="D54" t="s">
        <v>1871</v>
      </c>
      <c r="E54" t="s">
        <v>1629</v>
      </c>
      <c r="F54">
        <v>5</v>
      </c>
      <c r="G54" t="str">
        <f t="shared" ref="G54" si="3">IF(E54&lt;&gt;"",E54&amp;"_"&amp;F54,"")</f>
        <v>J_H3_5</v>
      </c>
      <c r="H54">
        <v>20250202</v>
      </c>
      <c r="I54" t="s">
        <v>1875</v>
      </c>
    </row>
    <row r="55" spans="1:10" x14ac:dyDescent="0.15">
      <c r="A55" s="1" t="s">
        <v>520</v>
      </c>
      <c r="B55" s="2" t="s">
        <v>45</v>
      </c>
      <c r="C55">
        <f t="shared" si="0"/>
        <v>45</v>
      </c>
      <c r="D55" t="s">
        <v>1077</v>
      </c>
      <c r="E55" t="str" cm="1">
        <f t="array" ref="E55">_xlfn.IFS(IFERROR(FIND("M-3SII",B55),-1)&gt;0,"J_M3S2",IFERROR(FIND("M-V",B55),-1)&gt;0,"J_M5",IFERROR(FIND("M-4S",B55),-1)&gt;0,"J_M4S",IFERROR(FIND("M-3C",B55),-1)&gt;0,"J_M3C",IFERROR(FIND("M-3S",B55),-1)&gt;0,"J_M3S",IFERROR(FIND("M-3H",B55),-1)&gt;0,"J_M3H",IFERROR(FIND("H-IIA",B55),-1)&gt;0,"J_H2A",IFERROR(FIND("H-IIB",B55),-1)&gt;0,"J_H2B",IFERROR(FIND("H-II",B55),-1)&gt;0,"J_H2",IFERROR(FIND("H-I",B55),-1)&gt;0,"J_H1",IFERROR(FIND("N-II",B55),-1)&gt;0,"J_N2",IFERROR(FIND("N-I",B55),-1)&gt;0,"J_N1",IFERROR(FIND("イプシロン",B55),-1)&gt;0,"J_E",TRUE,"")</f>
        <v/>
      </c>
      <c r="G55" t="str">
        <f t="shared" si="1"/>
        <v/>
      </c>
    </row>
    <row r="56" spans="1:10" ht="27" x14ac:dyDescent="0.15">
      <c r="A56" s="1" t="s">
        <v>521</v>
      </c>
      <c r="B56" s="2" t="s">
        <v>1592</v>
      </c>
      <c r="C56">
        <f t="shared" si="0"/>
        <v>89</v>
      </c>
      <c r="D56" t="s">
        <v>1428</v>
      </c>
      <c r="E56" t="str" cm="1">
        <f t="array" ref="E56">_xlfn.IFS(IFERROR(FIND("M-3SII",B56),-1)&gt;0,"J_M3S2",IFERROR(FIND("M-V",B56),-1)&gt;0,"J_M5",IFERROR(FIND("M-4S",B56),-1)&gt;0,"J_M4S",IFERROR(FIND("M-3C",B56),-1)&gt;0,"J_M3C",IFERROR(FIND("M-3S",B56),-1)&gt;0,"J_M3S",IFERROR(FIND("M-3H",B56),-1)&gt;0,"J_M3H",IFERROR(FIND("H-IIA",B56),-1)&gt;0,"J_H2A",IFERROR(FIND("H-IIB",B56),-1)&gt;0,"J_H2B",IFERROR(FIND("H-II",B56),-1)&gt;0,"J_H2",IFERROR(FIND("H-I",B56),-1)&gt;0,"J_H1",IFERROR(FIND("N-II",B56),-1)&gt;0,"J_N2",IFERROR(FIND("N-I",B56),-1)&gt;0,"J_N1",IFERROR(FIND("イプシロン",B56),-1)&gt;0,"J_E",TRUE,"")</f>
        <v>J_H2</v>
      </c>
      <c r="F56">
        <v>1</v>
      </c>
      <c r="G56" t="str">
        <f t="shared" si="1"/>
        <v>J_H2_1</v>
      </c>
    </row>
    <row r="57" spans="1:10" ht="40.5" x14ac:dyDescent="0.15">
      <c r="A57" s="1" t="s">
        <v>1839</v>
      </c>
      <c r="B57" s="2" t="s">
        <v>1842</v>
      </c>
      <c r="C57">
        <f t="shared" si="0"/>
        <v>202</v>
      </c>
      <c r="D57" t="s">
        <v>1840</v>
      </c>
      <c r="E57" t="s">
        <v>1841</v>
      </c>
      <c r="F57">
        <v>5</v>
      </c>
      <c r="G57" t="str">
        <f t="shared" si="1"/>
        <v>J_SS520_5</v>
      </c>
      <c r="H57">
        <v>20240318</v>
      </c>
      <c r="I57" t="s">
        <v>1007</v>
      </c>
    </row>
    <row r="58" spans="1:10" ht="40.5" x14ac:dyDescent="0.15">
      <c r="A58" s="1" t="s">
        <v>1843</v>
      </c>
      <c r="B58" s="2" t="s">
        <v>1846</v>
      </c>
      <c r="C58">
        <f t="shared" si="0"/>
        <v>172</v>
      </c>
      <c r="D58" t="s">
        <v>1845</v>
      </c>
      <c r="E58" t="s">
        <v>1841</v>
      </c>
      <c r="F58">
        <v>5</v>
      </c>
      <c r="G58" t="str">
        <f t="shared" ref="G58" si="4">IF(E58&lt;&gt;"",E58&amp;"_"&amp;F58,"")</f>
        <v>J_SS520_5</v>
      </c>
      <c r="H58">
        <v>20240318</v>
      </c>
      <c r="I58" t="s">
        <v>1007</v>
      </c>
      <c r="J58" t="s">
        <v>1844</v>
      </c>
    </row>
    <row r="59" spans="1:10" ht="27" x14ac:dyDescent="0.15">
      <c r="A59" s="1" t="s">
        <v>522</v>
      </c>
      <c r="B59" s="2" t="s">
        <v>1593</v>
      </c>
      <c r="C59">
        <f t="shared" si="0"/>
        <v>129</v>
      </c>
      <c r="D59" t="s">
        <v>1078</v>
      </c>
      <c r="E59" t="str" cm="1">
        <f t="array" ref="E59">_xlfn.IFS(IFERROR(FIND("M-3SII",B59),-1)&gt;0,"J_M3S2",IFERROR(FIND("M-V",B59),-1)&gt;0,"J_M5",IFERROR(FIND("M-4S",B59),-1)&gt;0,"J_M4S",IFERROR(FIND("M-3C",B59),-1)&gt;0,"J_M3C",IFERROR(FIND("M-3S",B59),-1)&gt;0,"J_M3S",IFERROR(FIND("M-3H",B59),-1)&gt;0,"J_M3H",IFERROR(FIND("H-IIA",B59),-1)&gt;0,"J_H2A",IFERROR(FIND("H-IIB",B59),-1)&gt;0,"J_H2B",IFERROR(FIND("H-II",B59),-1)&gt;0,"J_H2",IFERROR(FIND("H-I",B59),-1)&gt;0,"J_H1",IFERROR(FIND("N-II",B59),-1)&gt;0,"J_N2",IFERROR(FIND("N-I",B59),-1)&gt;0,"J_N1",IFERROR(FIND("イプシロン",B59),-1)&gt;0,"J_E",TRUE,"")</f>
        <v>J_M3H</v>
      </c>
      <c r="F59">
        <v>2</v>
      </c>
      <c r="G59" t="str">
        <f t="shared" si="1"/>
        <v>J_M3H_2</v>
      </c>
    </row>
    <row r="60" spans="1:10" ht="27" x14ac:dyDescent="0.15">
      <c r="A60" s="1" t="s">
        <v>523</v>
      </c>
      <c r="B60" s="2" t="s">
        <v>46</v>
      </c>
      <c r="C60">
        <f t="shared" si="0"/>
        <v>76</v>
      </c>
      <c r="D60" t="s">
        <v>1429</v>
      </c>
      <c r="E60" t="str" cm="1">
        <f t="array" ref="E60">_xlfn.IFS(IFERROR(FIND("M-3SII",B60),-1)&gt;0,"J_M3S2",IFERROR(FIND("M-V",B60),-1)&gt;0,"J_M5",IFERROR(FIND("M-4S",B60),-1)&gt;0,"J_M4S",IFERROR(FIND("M-3C",B60),-1)&gt;0,"J_M3C",IFERROR(FIND("M-3S",B60),-1)&gt;0,"J_M3S",IFERROR(FIND("M-3H",B60),-1)&gt;0,"J_M3H",IFERROR(FIND("H-IIA",B60),-1)&gt;0,"J_H2A",IFERROR(FIND("H-IIB",B60),-1)&gt;0,"J_H2B",IFERROR(FIND("H-II",B60),-1)&gt;0,"J_H2",IFERROR(FIND("H-I",B60),-1)&gt;0,"J_H1",IFERROR(FIND("N-II",B60),-1)&gt;0,"J_N2",IFERROR(FIND("N-I",B60),-1)&gt;0,"J_N1",IFERROR(FIND("イプシロン",B60),-1)&gt;0,"J_E",TRUE,"")</f>
        <v>J_H2</v>
      </c>
      <c r="F60">
        <v>1</v>
      </c>
      <c r="G60" t="str">
        <f t="shared" si="1"/>
        <v>J_H2_1</v>
      </c>
    </row>
    <row r="61" spans="1:10" ht="27" x14ac:dyDescent="0.15">
      <c r="A61" s="1" t="s">
        <v>524</v>
      </c>
      <c r="B61" s="2" t="s">
        <v>47</v>
      </c>
      <c r="C61">
        <f t="shared" si="0"/>
        <v>116</v>
      </c>
      <c r="D61" t="s">
        <v>1430</v>
      </c>
      <c r="E61" t="str" cm="1">
        <f t="array" ref="E61">_xlfn.IFS(IFERROR(FIND("M-3SII",B61),-1)&gt;0,"J_M3S2",IFERROR(FIND("M-V",B61),-1)&gt;0,"J_M5",IFERROR(FIND("M-4S",B61),-1)&gt;0,"J_M4S",IFERROR(FIND("M-3C",B61),-1)&gt;0,"J_M3C",IFERROR(FIND("M-3S",B61),-1)&gt;0,"J_M3S",IFERROR(FIND("M-3H",B61),-1)&gt;0,"J_M3H",IFERROR(FIND("H-IIA",B61),-1)&gt;0,"J_H2A",IFERROR(FIND("H-IIB",B61),-1)&gt;0,"J_H2B",IFERROR(FIND("H-II",B61),-1)&gt;0,"J_H2",IFERROR(FIND("H-I",B61),-1)&gt;0,"J_H1",IFERROR(FIND("N-II",B61),-1)&gt;0,"J_N2",IFERROR(FIND("N-I",B61),-1)&gt;0,"J_N1",IFERROR(FIND("イプシロン",B61),-1)&gt;0,"J_E",TRUE,"")</f>
        <v>J_H2A</v>
      </c>
      <c r="F61">
        <v>2</v>
      </c>
      <c r="G61" t="str">
        <f t="shared" si="1"/>
        <v>J_H2A_2</v>
      </c>
    </row>
    <row r="62" spans="1:10" x14ac:dyDescent="0.15">
      <c r="A62" s="1" t="s">
        <v>525</v>
      </c>
      <c r="B62" s="2" t="s">
        <v>48</v>
      </c>
      <c r="C62">
        <f t="shared" si="0"/>
        <v>63</v>
      </c>
      <c r="D62" t="s">
        <v>1431</v>
      </c>
      <c r="E62" t="str" cm="1">
        <f t="array" ref="E62">_xlfn.IFS(IFERROR(FIND("M-3SII",B62),-1)&gt;0,"J_M3S2",IFERROR(FIND("M-V",B62),-1)&gt;0,"J_M5",IFERROR(FIND("M-4S",B62),-1)&gt;0,"J_M4S",IFERROR(FIND("M-3C",B62),-1)&gt;0,"J_M3C",IFERROR(FIND("M-3S",B62),-1)&gt;0,"J_M3S",IFERROR(FIND("M-3H",B62),-1)&gt;0,"J_M3H",IFERROR(FIND("H-IIA",B62),-1)&gt;0,"J_H2A",IFERROR(FIND("H-IIB",B62),-1)&gt;0,"J_H2B",IFERROR(FIND("H-II",B62),-1)&gt;0,"J_H2",IFERROR(FIND("H-I",B62),-1)&gt;0,"J_H1",IFERROR(FIND("N-II",B62),-1)&gt;0,"J_N2",IFERROR(FIND("N-I",B62),-1)&gt;0,"J_N1",IFERROR(FIND("イプシロン",B62),-1)&gt;0,"J_E",TRUE,"")</f>
        <v>J_M3H</v>
      </c>
      <c r="F62">
        <v>2</v>
      </c>
      <c r="G62" t="str">
        <f t="shared" si="1"/>
        <v>J_M3H_2</v>
      </c>
    </row>
    <row r="63" spans="1:10" ht="27" x14ac:dyDescent="0.15">
      <c r="A63" s="1" t="s">
        <v>526</v>
      </c>
      <c r="B63" s="2" t="s">
        <v>49</v>
      </c>
      <c r="C63">
        <f t="shared" si="0"/>
        <v>90</v>
      </c>
      <c r="D63" t="s">
        <v>1079</v>
      </c>
      <c r="E63" t="str" cm="1">
        <f t="array" ref="E63">_xlfn.IFS(IFERROR(FIND("M-3SII",B63),-1)&gt;0,"J_M3S2",IFERROR(FIND("M-V",B63),-1)&gt;0,"J_M5",IFERROR(FIND("M-4S",B63),-1)&gt;0,"J_M4S",IFERROR(FIND("M-3C",B63),-1)&gt;0,"J_M3C",IFERROR(FIND("M-3S",B63),-1)&gt;0,"J_M3S",IFERROR(FIND("M-3H",B63),-1)&gt;0,"J_M3H",IFERROR(FIND("H-IIA",B63),-1)&gt;0,"J_H2A",IFERROR(FIND("H-IIB",B63),-1)&gt;0,"J_H2B",IFERROR(FIND("H-II",B63),-1)&gt;0,"J_H2",IFERROR(FIND("H-I",B63),-1)&gt;0,"J_H1",IFERROR(FIND("N-II",B63),-1)&gt;0,"J_N2",IFERROR(FIND("N-I",B63),-1)&gt;0,"J_N1",IFERROR(FIND("イプシロン",B63),-1)&gt;0,"J_E",TRUE,"")</f>
        <v>J_M3S2</v>
      </c>
      <c r="F63">
        <v>3</v>
      </c>
      <c r="G63" t="str">
        <f t="shared" si="1"/>
        <v>J_M3S2_3</v>
      </c>
    </row>
    <row r="64" spans="1:10" x14ac:dyDescent="0.15">
      <c r="A64" s="1" t="s">
        <v>527</v>
      </c>
      <c r="B64" s="2" t="s">
        <v>50</v>
      </c>
      <c r="C64">
        <f t="shared" si="0"/>
        <v>62</v>
      </c>
      <c r="D64" t="s">
        <v>1432</v>
      </c>
      <c r="E64" t="str" cm="1">
        <f t="array" ref="E64">_xlfn.IFS(IFERROR(FIND("M-3SII",B64),-1)&gt;0,"J_M3S2",IFERROR(FIND("M-V",B64),-1)&gt;0,"J_M5",IFERROR(FIND("M-4S",B64),-1)&gt;0,"J_M4S",IFERROR(FIND("M-3C",B64),-1)&gt;0,"J_M3C",IFERROR(FIND("M-3S",B64),-1)&gt;0,"J_M3S",IFERROR(FIND("M-3H",B64),-1)&gt;0,"J_M3H",IFERROR(FIND("H-IIA",B64),-1)&gt;0,"J_H2A",IFERROR(FIND("H-IIB",B64),-1)&gt;0,"J_H2B",IFERROR(FIND("H-II",B64),-1)&gt;0,"J_H2",IFERROR(FIND("H-I",B64),-1)&gt;0,"J_H1",IFERROR(FIND("N-II",B64),-1)&gt;0,"J_N2",IFERROR(FIND("N-I",B64),-1)&gt;0,"J_N1",IFERROR(FIND("イプシロン",B64),-1)&gt;0,"J_E",TRUE,"")</f>
        <v>J_M3S2</v>
      </c>
      <c r="F64">
        <v>3</v>
      </c>
      <c r="G64" t="str">
        <f t="shared" si="1"/>
        <v>J_M3S2_3</v>
      </c>
    </row>
    <row r="65" spans="1:7" ht="27" x14ac:dyDescent="0.15">
      <c r="A65" s="1" t="s">
        <v>528</v>
      </c>
      <c r="B65" s="2" t="s">
        <v>51</v>
      </c>
      <c r="C65">
        <f t="shared" si="0"/>
        <v>67</v>
      </c>
      <c r="D65" t="s">
        <v>1080</v>
      </c>
      <c r="E65" t="str" cm="1">
        <f t="array" ref="E65">_xlfn.IFS(IFERROR(FIND("M-3SII",B65),-1)&gt;0,"J_M3S2",IFERROR(FIND("M-V",B65),-1)&gt;0,"J_M5",IFERROR(FIND("M-4S",B65),-1)&gt;0,"J_M4S",IFERROR(FIND("M-3C",B65),-1)&gt;0,"J_M3C",IFERROR(FIND("M-3S",B65),-1)&gt;0,"J_M3S",IFERROR(FIND("M-3H",B65),-1)&gt;0,"J_M3H",IFERROR(FIND("H-IIA",B65),-1)&gt;0,"J_H2A",IFERROR(FIND("H-IIB",B65),-1)&gt;0,"J_H2B",IFERROR(FIND("H-II",B65),-1)&gt;0,"J_H2",IFERROR(FIND("H-I",B65),-1)&gt;0,"J_H1",IFERROR(FIND("N-II",B65),-1)&gt;0,"J_N2",IFERROR(FIND("N-I",B65),-1)&gt;0,"J_N1",IFERROR(FIND("イプシロン",B65),-1)&gt;0,"J_E",TRUE,"")</f>
        <v>J_N1</v>
      </c>
      <c r="F65">
        <v>5</v>
      </c>
      <c r="G65" t="str">
        <f t="shared" si="1"/>
        <v>J_N1_5</v>
      </c>
    </row>
    <row r="66" spans="1:7" ht="27" x14ac:dyDescent="0.15">
      <c r="A66" s="1" t="s">
        <v>529</v>
      </c>
      <c r="B66" s="2" t="s">
        <v>52</v>
      </c>
      <c r="C66">
        <f t="shared" si="0"/>
        <v>102</v>
      </c>
      <c r="D66" t="s">
        <v>1433</v>
      </c>
      <c r="E66" t="str" cm="1">
        <f t="array" ref="E66">_xlfn.IFS(IFERROR(FIND("M-3SII",B66),-1)&gt;0,"J_M3S2",IFERROR(FIND("M-V",B66),-1)&gt;0,"J_M5",IFERROR(FIND("M-4S",B66),-1)&gt;0,"J_M4S",IFERROR(FIND("M-3C",B66),-1)&gt;0,"J_M3C",IFERROR(FIND("M-3S",B66),-1)&gt;0,"J_M3S",IFERROR(FIND("M-3H",B66),-1)&gt;0,"J_M3H",IFERROR(FIND("H-IIA",B66),-1)&gt;0,"J_H2A",IFERROR(FIND("H-IIB",B66),-1)&gt;0,"J_H2B",IFERROR(FIND("H-II",B66),-1)&gt;0,"J_H2",IFERROR(FIND("H-I",B66),-1)&gt;0,"J_H1",IFERROR(FIND("N-II",B66),-1)&gt;0,"J_N2",IFERROR(FIND("N-I",B66),-1)&gt;0,"J_N1",IFERROR(FIND("イプシロン",B66),-1)&gt;0,"J_E",TRUE,"")</f>
        <v>J_N1</v>
      </c>
      <c r="F66">
        <v>5</v>
      </c>
      <c r="G66" t="str">
        <f t="shared" si="1"/>
        <v>J_N1_5</v>
      </c>
    </row>
    <row r="67" spans="1:7" ht="40.5" x14ac:dyDescent="0.15">
      <c r="A67" s="1" t="s">
        <v>530</v>
      </c>
      <c r="B67" s="2" t="s">
        <v>53</v>
      </c>
      <c r="C67">
        <f t="shared" si="0"/>
        <v>134</v>
      </c>
      <c r="D67" t="s">
        <v>1081</v>
      </c>
      <c r="E67" t="str" cm="1">
        <f t="array" ref="E67">_xlfn.IFS(IFERROR(FIND("M-3SII",B67),-1)&gt;0,"J_M3S2",IFERROR(FIND("M-V",B67),-1)&gt;0,"J_M5",IFERROR(FIND("M-4S",B67),-1)&gt;0,"J_M4S",IFERROR(FIND("M-3C",B67),-1)&gt;0,"J_M3C",IFERROR(FIND("M-3S",B67),-1)&gt;0,"J_M3S",IFERROR(FIND("M-3H",B67),-1)&gt;0,"J_M3H",IFERROR(FIND("H-IIA",B67),-1)&gt;0,"J_H2A",IFERROR(FIND("H-IIB",B67),-1)&gt;0,"J_H2B",IFERROR(FIND("H-II",B67),-1)&gt;0,"J_H2",IFERROR(FIND("H-I",B67),-1)&gt;0,"J_H1",IFERROR(FIND("N-II",B67),-1)&gt;0,"J_N2",IFERROR(FIND("N-I",B67),-1)&gt;0,"J_N1",IFERROR(FIND("イプシロン",B67),-1)&gt;0,"J_E",TRUE,"")</f>
        <v/>
      </c>
      <c r="G67" t="str">
        <f t="shared" si="1"/>
        <v/>
      </c>
    </row>
    <row r="68" spans="1:7" ht="27" x14ac:dyDescent="0.15">
      <c r="A68" s="1" t="s">
        <v>531</v>
      </c>
      <c r="B68" s="2" t="s">
        <v>54</v>
      </c>
      <c r="C68">
        <f t="shared" si="0"/>
        <v>76</v>
      </c>
      <c r="D68" t="s">
        <v>1434</v>
      </c>
      <c r="E68" t="s">
        <v>1594</v>
      </c>
      <c r="F68">
        <v>6</v>
      </c>
      <c r="G68" t="str">
        <f t="shared" si="1"/>
        <v>J_H1_6</v>
      </c>
    </row>
    <row r="69" spans="1:7" ht="27" x14ac:dyDescent="0.15">
      <c r="A69" s="1" t="s">
        <v>532</v>
      </c>
      <c r="B69" s="2" t="s">
        <v>55</v>
      </c>
      <c r="C69">
        <f t="shared" si="0"/>
        <v>86</v>
      </c>
      <c r="D69" t="s">
        <v>1435</v>
      </c>
      <c r="E69" t="str" cm="1">
        <f t="array" ref="E69">_xlfn.IFS(IFERROR(FIND("M-3SII",B69),-1)&gt;0,"J_M3S2",IFERROR(FIND("M-V",B69),-1)&gt;0,"J_M5",IFERROR(FIND("M-4S",B69),-1)&gt;0,"J_M4S",IFERROR(FIND("M-3C",B69),-1)&gt;0,"J_M3C",IFERROR(FIND("M-3S",B69),-1)&gt;0,"J_M3S",IFERROR(FIND("M-3H",B69),-1)&gt;0,"J_M3H",IFERROR(FIND("H-IIA",B69),-1)&gt;0,"J_H2A",IFERROR(FIND("H-IIB",B69),-1)&gt;0,"J_H2B",IFERROR(FIND("H-II",B69),-1)&gt;0,"J_H2",IFERROR(FIND("H-I",B69),-1)&gt;0,"J_H1",IFERROR(FIND("N-II",B69),-1)&gt;0,"J_N2",IFERROR(FIND("N-I",B69),-1)&gt;0,"J_N1",IFERROR(FIND("イプシロン",B69),-1)&gt;0,"J_E",TRUE,"")</f>
        <v>J_H1</v>
      </c>
      <c r="F69">
        <v>6</v>
      </c>
      <c r="G69" t="str">
        <f t="shared" si="1"/>
        <v>J_H1_6</v>
      </c>
    </row>
    <row r="70" spans="1:7" x14ac:dyDescent="0.15">
      <c r="A70" s="1" t="s">
        <v>533</v>
      </c>
      <c r="B70" s="2" t="s">
        <v>56</v>
      </c>
      <c r="C70">
        <f t="shared" ref="C70:C135" si="5">LEN(B70)</f>
        <v>70</v>
      </c>
      <c r="D70" t="s">
        <v>1082</v>
      </c>
      <c r="E70" t="str" cm="1">
        <f t="array" ref="E70">_xlfn.IFS(IFERROR(FIND("M-3SII",B70),-1)&gt;0,"J_M3S2",IFERROR(FIND("M-V",B70),-1)&gt;0,"J_M5",IFERROR(FIND("M-4S",B70),-1)&gt;0,"J_M4S",IFERROR(FIND("M-3C",B70),-1)&gt;0,"J_M3C",IFERROR(FIND("M-3S",B70),-1)&gt;0,"J_M3S",IFERROR(FIND("M-3H",B70),-1)&gt;0,"J_M3H",IFERROR(FIND("H-IIA",B70),-1)&gt;0,"J_H2A",IFERROR(FIND("H-IIB",B70),-1)&gt;0,"J_H2B",IFERROR(FIND("H-II",B70),-1)&gt;0,"J_H2",IFERROR(FIND("H-I",B70),-1)&gt;0,"J_H1",IFERROR(FIND("N-II",B70),-1)&gt;0,"J_N2",IFERROR(FIND("N-I",B70),-1)&gt;0,"J_N1",IFERROR(FIND("イプシロン",B70),-1)&gt;0,"J_E",TRUE,"")</f>
        <v/>
      </c>
      <c r="G70" t="str">
        <f t="shared" si="1"/>
        <v/>
      </c>
    </row>
    <row r="71" spans="1:7" ht="27" x14ac:dyDescent="0.15">
      <c r="A71" s="1" t="s">
        <v>534</v>
      </c>
      <c r="B71" s="2" t="s">
        <v>57</v>
      </c>
      <c r="C71">
        <f t="shared" si="5"/>
        <v>88</v>
      </c>
      <c r="D71" t="s">
        <v>1083</v>
      </c>
      <c r="E71" t="str" cm="1">
        <f t="array" ref="E71">_xlfn.IFS(IFERROR(FIND("M-3SII",B71),-1)&gt;0,"J_M3S2",IFERROR(FIND("M-V",B71),-1)&gt;0,"J_M5",IFERROR(FIND("M-4S",B71),-1)&gt;0,"J_M4S",IFERROR(FIND("M-3C",B71),-1)&gt;0,"J_M3C",IFERROR(FIND("M-3S",B71),-1)&gt;0,"J_M3S",IFERROR(FIND("M-3H",B71),-1)&gt;0,"J_M3H",IFERROR(FIND("H-IIA",B71),-1)&gt;0,"J_H2A",IFERROR(FIND("H-IIB",B71),-1)&gt;0,"J_H2B",IFERROR(FIND("H-II",B71),-1)&gt;0,"J_H2",IFERROR(FIND("H-I",B71),-1)&gt;0,"J_H1",IFERROR(FIND("N-II",B71),-1)&gt;0,"J_N2",IFERROR(FIND("N-I",B71),-1)&gt;0,"J_N1",IFERROR(FIND("イプシロン",B71),-1)&gt;0,"J_E",TRUE,"")</f>
        <v/>
      </c>
      <c r="G71" t="str">
        <f t="shared" ref="G71:G136" si="6">IF(E71&lt;&gt;"",E71&amp;"_"&amp;F71,"")</f>
        <v/>
      </c>
    </row>
    <row r="72" spans="1:7" ht="27" x14ac:dyDescent="0.15">
      <c r="A72" s="1" t="s">
        <v>535</v>
      </c>
      <c r="B72" s="2" t="s">
        <v>58</v>
      </c>
      <c r="C72">
        <f t="shared" si="5"/>
        <v>110</v>
      </c>
      <c r="D72" t="s">
        <v>1084</v>
      </c>
      <c r="E72" t="str" cm="1">
        <f t="array" ref="E72">_xlfn.IFS(IFERROR(FIND("M-3SII",B72),-1)&gt;0,"J_M3S2",IFERROR(FIND("M-V",B72),-1)&gt;0,"J_M5",IFERROR(FIND("M-4S",B72),-1)&gt;0,"J_M4S",IFERROR(FIND("M-3C",B72),-1)&gt;0,"J_M3C",IFERROR(FIND("M-3S",B72),-1)&gt;0,"J_M3S",IFERROR(FIND("M-3H",B72),-1)&gt;0,"J_M3H",IFERROR(FIND("H-IIA",B72),-1)&gt;0,"J_H2A",IFERROR(FIND("H-IIB",B72),-1)&gt;0,"J_H2B",IFERROR(FIND("H-II",B72),-1)&gt;0,"J_H2",IFERROR(FIND("H-I",B72),-1)&gt;0,"J_H1",IFERROR(FIND("N-II",B72),-1)&gt;0,"J_N2",IFERROR(FIND("N-I",B72),-1)&gt;0,"J_N1",IFERROR(FIND("イプシロン",B72),-1)&gt;0,"J_E",TRUE,"")</f>
        <v/>
      </c>
      <c r="G72" t="str">
        <f t="shared" si="6"/>
        <v/>
      </c>
    </row>
    <row r="73" spans="1:7" ht="27" x14ac:dyDescent="0.15">
      <c r="A73" s="1" t="s">
        <v>536</v>
      </c>
      <c r="B73" s="2" t="s">
        <v>59</v>
      </c>
      <c r="C73">
        <f t="shared" si="5"/>
        <v>81</v>
      </c>
      <c r="D73" t="s">
        <v>1436</v>
      </c>
      <c r="E73" t="str" cm="1">
        <f t="array" ref="E73">_xlfn.IFS(IFERROR(FIND("M-3SII",B73),-1)&gt;0,"J_M3S2",IFERROR(FIND("M-V",B73),-1)&gt;0,"J_M5",IFERROR(FIND("M-4S",B73),-1)&gt;0,"J_M4S",IFERROR(FIND("M-3C",B73),-1)&gt;0,"J_M3C",IFERROR(FIND("M-3S",B73),-1)&gt;0,"J_M3S",IFERROR(FIND("M-3H",B73),-1)&gt;0,"J_M3H",IFERROR(FIND("H-IIA",B73),-1)&gt;0,"J_H2A",IFERROR(FIND("H-IIB",B73),-1)&gt;0,"J_H2B",IFERROR(FIND("H-II",B73),-1)&gt;0,"J_H2",IFERROR(FIND("H-I",B73),-1)&gt;0,"J_H1",IFERROR(FIND("N-II",B73),-1)&gt;0,"J_N2",IFERROR(FIND("N-I",B73),-1)&gt;0,"J_N1",IFERROR(FIND("イプシロン",B73),-1)&gt;0,"J_E",TRUE,"")</f>
        <v>J_M5</v>
      </c>
      <c r="F73">
        <v>4</v>
      </c>
      <c r="G73" t="str">
        <f t="shared" si="6"/>
        <v>J_M5_4</v>
      </c>
    </row>
    <row r="74" spans="1:7" ht="27" x14ac:dyDescent="0.15">
      <c r="A74" s="1" t="s">
        <v>537</v>
      </c>
      <c r="B74" s="2" t="s">
        <v>60</v>
      </c>
      <c r="C74">
        <f t="shared" si="5"/>
        <v>95</v>
      </c>
      <c r="D74" t="s">
        <v>1437</v>
      </c>
      <c r="E74" t="str" cm="1">
        <f t="array" ref="E74">_xlfn.IFS(IFERROR(FIND("M-3SII",B74),-1)&gt;0,"J_M3S2",IFERROR(FIND("M-V",B74),-1)&gt;0,"J_M5",IFERROR(FIND("M-4S",B74),-1)&gt;0,"J_M4S",IFERROR(FIND("M-3C",B74),-1)&gt;0,"J_M3C",IFERROR(FIND("M-3S",B74),-1)&gt;0,"J_M3S",IFERROR(FIND("M-3H",B74),-1)&gt;0,"J_M3H",IFERROR(FIND("H-IIA",B74),-1)&gt;0,"J_H2A",IFERROR(FIND("H-IIB",B74),-1)&gt;0,"J_H2B",IFERROR(FIND("H-II",B74),-1)&gt;0,"J_H2",IFERROR(FIND("H-I",B74),-1)&gt;0,"J_H1",IFERROR(FIND("N-II",B74),-1)&gt;0,"J_N2",IFERROR(FIND("N-I",B74),-1)&gt;0,"J_N1",IFERROR(FIND("イプシロン",B74),-1)&gt;0,"J_E",TRUE,"")</f>
        <v>J_M5</v>
      </c>
      <c r="F74">
        <v>4</v>
      </c>
      <c r="G74" t="str">
        <f t="shared" si="6"/>
        <v>J_M5_4</v>
      </c>
    </row>
    <row r="75" spans="1:7" ht="27" x14ac:dyDescent="0.15">
      <c r="A75" s="1" t="s">
        <v>538</v>
      </c>
      <c r="B75" s="2" t="s">
        <v>61</v>
      </c>
      <c r="C75">
        <f t="shared" si="5"/>
        <v>96</v>
      </c>
      <c r="D75" t="s">
        <v>1085</v>
      </c>
      <c r="E75" t="s">
        <v>1595</v>
      </c>
      <c r="F75">
        <v>5</v>
      </c>
      <c r="G75" t="str">
        <f t="shared" si="6"/>
        <v>J_L4S_5</v>
      </c>
    </row>
    <row r="76" spans="1:7" ht="40.5" x14ac:dyDescent="0.15">
      <c r="A76" s="1" t="s">
        <v>541</v>
      </c>
      <c r="B76" s="2" t="s">
        <v>64</v>
      </c>
      <c r="C76">
        <f t="shared" si="5"/>
        <v>126</v>
      </c>
      <c r="D76" t="s">
        <v>1440</v>
      </c>
      <c r="E76" t="s">
        <v>1595</v>
      </c>
      <c r="F76">
        <v>5</v>
      </c>
      <c r="G76" t="str">
        <f t="shared" si="6"/>
        <v>J_L4S_5</v>
      </c>
    </row>
    <row r="77" spans="1:7" ht="27" x14ac:dyDescent="0.15">
      <c r="A77" s="1" t="s">
        <v>539</v>
      </c>
      <c r="B77" s="2" t="s">
        <v>62</v>
      </c>
      <c r="C77">
        <f t="shared" si="5"/>
        <v>123</v>
      </c>
      <c r="D77" t="s">
        <v>1438</v>
      </c>
      <c r="E77" t="str" cm="1">
        <f t="array" ref="E77">_xlfn.IFS(IFERROR(FIND("M-3SII",B77),-1)&gt;0,"J_M3S2",IFERROR(FIND("M-V",B77),-1)&gt;0,"J_M5",IFERROR(FIND("M-4S",B77),-1)&gt;0,"J_M4S",IFERROR(FIND("M-3C",B77),-1)&gt;0,"J_M3C",IFERROR(FIND("M-3S",B77),-1)&gt;0,"J_M3S",IFERROR(FIND("M-3H",B77),-1)&gt;0,"J_M3H",IFERROR(FIND("H-IIA",B77),-1)&gt;0,"J_H2A",IFERROR(FIND("H-IIB",B77),-1)&gt;0,"J_H2B",IFERROR(FIND("H-II",B77),-1)&gt;0,"J_H2",IFERROR(FIND("H-I",B77),-1)&gt;0,"J_H1",IFERROR(FIND("N-II",B77),-1)&gt;0,"J_N2",IFERROR(FIND("N-I",B77),-1)&gt;0,"J_N1",IFERROR(FIND("イプシロン",B77),-1)&gt;0,"J_E",TRUE,"")</f>
        <v>J_N2</v>
      </c>
      <c r="F77">
        <v>1</v>
      </c>
      <c r="G77" t="str">
        <f t="shared" si="6"/>
        <v>J_N2_1</v>
      </c>
    </row>
    <row r="78" spans="1:7" x14ac:dyDescent="0.15">
      <c r="A78" s="1" t="s">
        <v>540</v>
      </c>
      <c r="B78" s="2" t="s">
        <v>63</v>
      </c>
      <c r="C78">
        <f t="shared" si="5"/>
        <v>53</v>
      </c>
      <c r="D78" t="s">
        <v>1439</v>
      </c>
      <c r="E78" t="str" cm="1">
        <f t="array" ref="E78">_xlfn.IFS(IFERROR(FIND("M-3SII",B78),-1)&gt;0,"J_M3S2",IFERROR(FIND("M-V",B78),-1)&gt;0,"J_M5",IFERROR(FIND("M-4S",B78),-1)&gt;0,"J_M4S",IFERROR(FIND("M-3C",B78),-1)&gt;0,"J_M3C",IFERROR(FIND("M-3S",B78),-1)&gt;0,"J_M3S",IFERROR(FIND("M-3H",B78),-1)&gt;0,"J_M3H",IFERROR(FIND("H-IIA",B78),-1)&gt;0,"J_H2A",IFERROR(FIND("H-IIB",B78),-1)&gt;0,"J_H2B",IFERROR(FIND("H-II",B78),-1)&gt;0,"J_H2",IFERROR(FIND("H-I",B78),-1)&gt;0,"J_H1",IFERROR(FIND("N-II",B78),-1)&gt;0,"J_N2",IFERROR(FIND("N-I",B78),-1)&gt;0,"J_N1",IFERROR(FIND("イプシロン",B78),-1)&gt;0,"J_E",TRUE,"")</f>
        <v>J_H1</v>
      </c>
      <c r="F78">
        <v>9</v>
      </c>
      <c r="G78" t="str">
        <f t="shared" si="6"/>
        <v>J_H1_9</v>
      </c>
    </row>
    <row r="79" spans="1:7" ht="27" x14ac:dyDescent="0.15">
      <c r="A79" s="1" t="s">
        <v>542</v>
      </c>
      <c r="B79" s="2" t="s">
        <v>65</v>
      </c>
      <c r="C79">
        <f t="shared" si="5"/>
        <v>70</v>
      </c>
      <c r="D79" t="s">
        <v>1441</v>
      </c>
      <c r="E79" t="str" cm="1">
        <f t="array" ref="E79">_xlfn.IFS(IFERROR(FIND("M-3SII",B79),-1)&gt;0,"J_M3S2",IFERROR(FIND("M-V",B79),-1)&gt;0,"J_M5",IFERROR(FIND("M-4S",B79),-1)&gt;0,"J_M4S",IFERROR(FIND("M-3C",B79),-1)&gt;0,"J_M3C",IFERROR(FIND("M-3S",B79),-1)&gt;0,"J_M3S",IFERROR(FIND("M-3H",B79),-1)&gt;0,"J_M3H",IFERROR(FIND("H-IIA",B79),-1)&gt;0,"J_H2A",IFERROR(FIND("H-IIB",B79),-1)&gt;0,"J_H2B",IFERROR(FIND("H-II",B79),-1)&gt;0,"J_H2",IFERROR(FIND("H-I",B79),-1)&gt;0,"J_H1",IFERROR(FIND("N-II",B79),-1)&gt;0,"J_N2",IFERROR(FIND("N-I",B79),-1)&gt;0,"J_N1",IFERROR(FIND("イプシロン",B79),-1)&gt;0,"J_E",TRUE,"")</f>
        <v>J_N2</v>
      </c>
      <c r="F79">
        <v>1</v>
      </c>
      <c r="G79" t="str">
        <f t="shared" si="6"/>
        <v>J_N2_1</v>
      </c>
    </row>
    <row r="80" spans="1:7" ht="27" x14ac:dyDescent="0.15">
      <c r="A80" s="1" t="s">
        <v>543</v>
      </c>
      <c r="B80" s="2" t="s">
        <v>66</v>
      </c>
      <c r="C80">
        <f t="shared" si="5"/>
        <v>126</v>
      </c>
      <c r="D80" t="s">
        <v>1086</v>
      </c>
      <c r="E80" t="str" cm="1">
        <f t="array" ref="E80">_xlfn.IFS(IFERROR(FIND("M-3SII",B80),-1)&gt;0,"J_M3S2",IFERROR(FIND("M-V",B80),-1)&gt;0,"J_M5",IFERROR(FIND("M-4S",B80),-1)&gt;0,"J_M4S",IFERROR(FIND("M-3C",B80),-1)&gt;0,"J_M3C",IFERROR(FIND("M-3S",B80),-1)&gt;0,"J_M3S",IFERROR(FIND("M-3H",B80),-1)&gt;0,"J_M3H",IFERROR(FIND("H-IIA",B80),-1)&gt;0,"J_H2A",IFERROR(FIND("H-IIB",B80),-1)&gt;0,"J_H2B",IFERROR(FIND("H-II",B80),-1)&gt;0,"J_H2",IFERROR(FIND("H-I",B80),-1)&gt;0,"J_H1",IFERROR(FIND("N-II",B80),-1)&gt;0,"J_N2",IFERROR(FIND("N-I",B80),-1)&gt;0,"J_N1",IFERROR(FIND("イプシロン",B80),-1)&gt;0,"J_E",TRUE,"")</f>
        <v/>
      </c>
      <c r="G80" t="str">
        <f t="shared" si="6"/>
        <v/>
      </c>
    </row>
    <row r="81" spans="1:9" ht="27" x14ac:dyDescent="0.15">
      <c r="A81" s="1" t="s">
        <v>544</v>
      </c>
      <c r="B81" s="2" t="s">
        <v>67</v>
      </c>
      <c r="C81">
        <f t="shared" si="5"/>
        <v>118</v>
      </c>
      <c r="D81" t="s">
        <v>1442</v>
      </c>
      <c r="E81" t="str" cm="1">
        <f t="array" ref="E81">_xlfn.IFS(IFERROR(FIND("M-3SII",B81),-1)&gt;0,"J_M3S2",IFERROR(FIND("M-V",B81),-1)&gt;0,"J_M5",IFERROR(FIND("M-4S",B81),-1)&gt;0,"J_M4S",IFERROR(FIND("M-3C",B81),-1)&gt;0,"J_M3C",IFERROR(FIND("M-3S",B81),-1)&gt;0,"J_M3S",IFERROR(FIND("M-3H",B81),-1)&gt;0,"J_M3H",IFERROR(FIND("H-IIA",B81),-1)&gt;0,"J_H2A",IFERROR(FIND("H-IIB",B81),-1)&gt;0,"J_H2B",IFERROR(FIND("H-II",B81),-1)&gt;0,"J_H2",IFERROR(FIND("H-I",B81),-1)&gt;0,"J_H1",IFERROR(FIND("N-II",B81),-1)&gt;0,"J_N2",IFERROR(FIND("N-I",B81),-1)&gt;0,"J_N1",IFERROR(FIND("イプシロン",B81),-1)&gt;0,"J_E",TRUE,"")</f>
        <v>J_M5</v>
      </c>
      <c r="F81">
        <v>1</v>
      </c>
      <c r="G81" t="str">
        <f t="shared" si="6"/>
        <v>J_M5_1</v>
      </c>
    </row>
    <row r="82" spans="1:9" x14ac:dyDescent="0.15">
      <c r="A82" s="1" t="s">
        <v>545</v>
      </c>
      <c r="B82" s="2" t="s">
        <v>68</v>
      </c>
      <c r="C82">
        <f t="shared" si="5"/>
        <v>60</v>
      </c>
      <c r="D82" t="s">
        <v>1443</v>
      </c>
      <c r="E82" t="str" cm="1">
        <f t="array" ref="E82">_xlfn.IFS(IFERROR(FIND("M-3SII",B82),-1)&gt;0,"J_M3S2",IFERROR(FIND("M-V",B82),-1)&gt;0,"J_M5",IFERROR(FIND("M-4S",B82),-1)&gt;0,"J_M4S",IFERROR(FIND("M-3C",B82),-1)&gt;0,"J_M3C",IFERROR(FIND("M-3S",B82),-1)&gt;0,"J_M3S",IFERROR(FIND("M-3H",B82),-1)&gt;0,"J_M3H",IFERROR(FIND("H-IIA",B82),-1)&gt;0,"J_H2A",IFERROR(FIND("H-IIB",B82),-1)&gt;0,"J_H2B",IFERROR(FIND("H-II",B82),-1)&gt;0,"J_H2",IFERROR(FIND("H-I",B82),-1)&gt;0,"J_H1",IFERROR(FIND("N-II",B82),-1)&gt;0,"J_N2",IFERROR(FIND("N-I",B82),-1)&gt;0,"J_N1",IFERROR(FIND("イプシロン",B82),-1)&gt;0,"J_E",TRUE,"")</f>
        <v>J_M5</v>
      </c>
      <c r="F82">
        <v>1</v>
      </c>
      <c r="G82" t="str">
        <f t="shared" si="6"/>
        <v>J_M5_1</v>
      </c>
    </row>
    <row r="83" spans="1:9" ht="27" x14ac:dyDescent="0.15">
      <c r="A83" s="1" t="s">
        <v>546</v>
      </c>
      <c r="B83" s="2" t="s">
        <v>69</v>
      </c>
      <c r="C83">
        <f t="shared" si="5"/>
        <v>109</v>
      </c>
      <c r="D83" t="s">
        <v>1087</v>
      </c>
      <c r="E83" t="str" cm="1">
        <f t="array" ref="E83">_xlfn.IFS(IFERROR(FIND("M-3SII",B83),-1)&gt;0,"J_M3S2",IFERROR(FIND("M-V",B83),-1)&gt;0,"J_M5",IFERROR(FIND("M-4S",B83),-1)&gt;0,"J_M4S",IFERROR(FIND("M-3C",B83),-1)&gt;0,"J_M3C",IFERROR(FIND("M-3S",B83),-1)&gt;0,"J_M3S",IFERROR(FIND("M-3H",B83),-1)&gt;0,"J_M3H",IFERROR(FIND("H-IIA",B83),-1)&gt;0,"J_H2A",IFERROR(FIND("H-IIB",B83),-1)&gt;0,"J_H2B",IFERROR(FIND("H-II",B83),-1)&gt;0,"J_H2",IFERROR(FIND("H-I",B83),-1)&gt;0,"J_H1",IFERROR(FIND("N-II",B83),-1)&gt;0,"J_N2",IFERROR(FIND("N-I",B83),-1)&gt;0,"J_N1",IFERROR(FIND("イプシロン",B83),-1)&gt;0,"J_E",TRUE,"")</f>
        <v/>
      </c>
      <c r="G83" t="str">
        <f t="shared" si="6"/>
        <v/>
      </c>
    </row>
    <row r="84" spans="1:9" ht="27" x14ac:dyDescent="0.15">
      <c r="A84" s="1" t="s">
        <v>547</v>
      </c>
      <c r="B84" s="2" t="s">
        <v>70</v>
      </c>
      <c r="C84">
        <f t="shared" si="5"/>
        <v>120</v>
      </c>
      <c r="D84" t="s">
        <v>1088</v>
      </c>
      <c r="E84" t="str" cm="1">
        <f t="array" ref="E84">_xlfn.IFS(IFERROR(FIND("M-3SII",B84),-1)&gt;0,"J_M3S2",IFERROR(FIND("M-V",B84),-1)&gt;0,"J_M5",IFERROR(FIND("M-4S",B84),-1)&gt;0,"J_M4S",IFERROR(FIND("M-3C",B84),-1)&gt;0,"J_M3C",IFERROR(FIND("M-3S",B84),-1)&gt;0,"J_M3S",IFERROR(FIND("M-3H",B84),-1)&gt;0,"J_M3H",IFERROR(FIND("H-IIA",B84),-1)&gt;0,"J_H2A",IFERROR(FIND("H-IIB",B84),-1)&gt;0,"J_H2B",IFERROR(FIND("H-II",B84),-1)&gt;0,"J_H2",IFERROR(FIND("H-I",B84),-1)&gt;0,"J_H1",IFERROR(FIND("N-II",B84),-1)&gt;0,"J_N2",IFERROR(FIND("N-I",B84),-1)&gt;0,"J_N1",IFERROR(FIND("イプシロン",B84),-1)&gt;0,"J_E",TRUE,"")</f>
        <v/>
      </c>
      <c r="G84" t="str">
        <f t="shared" si="6"/>
        <v/>
      </c>
    </row>
    <row r="85" spans="1:9" ht="27" x14ac:dyDescent="0.15">
      <c r="A85" s="1" t="s">
        <v>548</v>
      </c>
      <c r="B85" s="2" t="s">
        <v>71</v>
      </c>
      <c r="C85">
        <f t="shared" si="5"/>
        <v>98</v>
      </c>
      <c r="D85" t="s">
        <v>1089</v>
      </c>
      <c r="E85" t="str" cm="1">
        <f t="array" ref="E85">_xlfn.IFS(IFERROR(FIND("M-3SII",B85),-1)&gt;0,"J_M3S2",IFERROR(FIND("M-V",B85),-1)&gt;0,"J_M5",IFERROR(FIND("M-4S",B85),-1)&gt;0,"J_M4S",IFERROR(FIND("M-3C",B85),-1)&gt;0,"J_M3C",IFERROR(FIND("M-3S",B85),-1)&gt;0,"J_M3S",IFERROR(FIND("M-3H",B85),-1)&gt;0,"J_M3H",IFERROR(FIND("H-IIA",B85),-1)&gt;0,"J_H2A",IFERROR(FIND("H-IIB",B85),-1)&gt;0,"J_H2B",IFERROR(FIND("H-II",B85),-1)&gt;0,"J_H2",IFERROR(FIND("H-I",B85),-1)&gt;0,"J_H1",IFERROR(FIND("N-II",B85),-1)&gt;0,"J_N2",IFERROR(FIND("N-I",B85),-1)&gt;0,"J_N1",IFERROR(FIND("イプシロン",B85),-1)&gt;0,"J_E",TRUE,"")</f>
        <v/>
      </c>
      <c r="G85" t="str">
        <f t="shared" si="6"/>
        <v/>
      </c>
    </row>
    <row r="86" spans="1:9" ht="27" x14ac:dyDescent="0.15">
      <c r="A86" s="1" t="s">
        <v>549</v>
      </c>
      <c r="B86" s="2" t="s">
        <v>72</v>
      </c>
      <c r="C86">
        <f t="shared" si="5"/>
        <v>107</v>
      </c>
      <c r="D86" t="s">
        <v>1090</v>
      </c>
      <c r="E86" t="s">
        <v>1596</v>
      </c>
      <c r="F86">
        <v>2</v>
      </c>
      <c r="G86" t="str">
        <f t="shared" si="6"/>
        <v>J_M4S_2</v>
      </c>
    </row>
    <row r="87" spans="1:9" x14ac:dyDescent="0.15">
      <c r="A87" s="1" t="s">
        <v>552</v>
      </c>
      <c r="B87" s="2" t="s">
        <v>74</v>
      </c>
      <c r="C87">
        <f t="shared" si="5"/>
        <v>49</v>
      </c>
      <c r="D87" t="s">
        <v>1446</v>
      </c>
      <c r="E87" t="str" cm="1">
        <f t="array" ref="E87">_xlfn.IFS(IFERROR(FIND("M-3SII",B87),-1)&gt;0,"J_M3S2",IFERROR(FIND("M-V",B87),-1)&gt;0,"J_M5",IFERROR(FIND("M-4S",B87),-1)&gt;0,"J_M4S",IFERROR(FIND("M-3C",B87),-1)&gt;0,"J_M3C",IFERROR(FIND("M-3S",B87),-1)&gt;0,"J_M3S",IFERROR(FIND("M-3H",B87),-1)&gt;0,"J_M3H",IFERROR(FIND("H-IIA",B87),-1)&gt;0,"J_H2A",IFERROR(FIND("H-IIB",B87),-1)&gt;0,"J_H2B",IFERROR(FIND("H-II",B87),-1)&gt;0,"J_H2",IFERROR(FIND("H-I",B87),-1)&gt;0,"J_H1",IFERROR(FIND("N-II",B87),-1)&gt;0,"J_N2",IFERROR(FIND("N-I",B87),-1)&gt;0,"J_N1",IFERROR(FIND("イプシロン",B87),-1)&gt;0,"J_E",TRUE,"")</f>
        <v>J_M4S</v>
      </c>
      <c r="F87">
        <v>2</v>
      </c>
      <c r="G87" t="str">
        <f t="shared" si="6"/>
        <v>J_M4S_2</v>
      </c>
    </row>
    <row r="88" spans="1:9" x14ac:dyDescent="0.15">
      <c r="A88" s="1" t="s">
        <v>553</v>
      </c>
      <c r="B88" s="2" t="s">
        <v>75</v>
      </c>
      <c r="C88">
        <f t="shared" si="5"/>
        <v>49</v>
      </c>
      <c r="D88" t="s">
        <v>1447</v>
      </c>
      <c r="E88" t="str" cm="1">
        <f t="array" ref="E88">_xlfn.IFS(IFERROR(FIND("M-3SII",B88),-1)&gt;0,"J_M3S2",IFERROR(FIND("M-V",B88),-1)&gt;0,"J_M5",IFERROR(FIND("M-4S",B88),-1)&gt;0,"J_M4S",IFERROR(FIND("M-3C",B88),-1)&gt;0,"J_M3C",IFERROR(FIND("M-3S",B88),-1)&gt;0,"J_M3S",IFERROR(FIND("M-3H",B88),-1)&gt;0,"J_M3H",IFERROR(FIND("H-IIA",B88),-1)&gt;0,"J_H2A",IFERROR(FIND("H-IIB",B88),-1)&gt;0,"J_H2B",IFERROR(FIND("H-II",B88),-1)&gt;0,"J_H2",IFERROR(FIND("H-I",B88),-1)&gt;0,"J_H1",IFERROR(FIND("N-II",B88),-1)&gt;0,"J_N2",IFERROR(FIND("N-I",B88),-1)&gt;0,"J_N1",IFERROR(FIND("イプシロン",B88),-1)&gt;0,"J_E",TRUE,"")</f>
        <v>J_M3C</v>
      </c>
      <c r="F88">
        <v>1</v>
      </c>
      <c r="G88" t="str">
        <f t="shared" si="6"/>
        <v>J_M3C_1</v>
      </c>
    </row>
    <row r="89" spans="1:9" ht="27" x14ac:dyDescent="0.15">
      <c r="A89" s="1" t="s">
        <v>550</v>
      </c>
      <c r="B89" s="2" t="s">
        <v>73</v>
      </c>
      <c r="C89">
        <f t="shared" si="5"/>
        <v>118</v>
      </c>
      <c r="D89" t="s">
        <v>1444</v>
      </c>
      <c r="E89" t="str" cm="1">
        <f t="array" ref="E89">_xlfn.IFS(IFERROR(FIND("M-3SII",B89),-1)&gt;0,"J_M3S2",IFERROR(FIND("M-V",B89),-1)&gt;0,"J_M5",IFERROR(FIND("M-4S",B89),-1)&gt;0,"J_M4S",IFERROR(FIND("M-3C",B89),-1)&gt;0,"J_M3C",IFERROR(FIND("M-3S",B89),-1)&gt;0,"J_M3S",IFERROR(FIND("M-3H",B89),-1)&gt;0,"J_M3H",IFERROR(FIND("H-IIA",B89),-1)&gt;0,"J_H2A",IFERROR(FIND("H-IIB",B89),-1)&gt;0,"J_H2B",IFERROR(FIND("H-II",B89),-1)&gt;0,"J_H2",IFERROR(FIND("H-I",B89),-1)&gt;0,"J_H1",IFERROR(FIND("N-II",B89),-1)&gt;0,"J_N2",IFERROR(FIND("N-I",B89),-1)&gt;0,"J_N1",IFERROR(FIND("イプシロン",B89),-1)&gt;0,"J_E",TRUE,"")</f>
        <v/>
      </c>
      <c r="G89" t="str">
        <f t="shared" si="6"/>
        <v/>
      </c>
    </row>
    <row r="90" spans="1:9" ht="27" x14ac:dyDescent="0.15">
      <c r="A90" s="1" t="s">
        <v>551</v>
      </c>
      <c r="B90" s="2" t="s">
        <v>1002</v>
      </c>
      <c r="C90">
        <f t="shared" si="5"/>
        <v>105</v>
      </c>
      <c r="D90" t="s">
        <v>1445</v>
      </c>
      <c r="E90" t="str" cm="1">
        <f t="array" ref="E90">_xlfn.IFS(IFERROR(FIND("M-3SII",B90),-1)&gt;0,"J_M3S2",IFERROR(FIND("M-V",B90),-1)&gt;0,"J_M5",IFERROR(FIND("M-4S",B90),-1)&gt;0,"J_M4S",IFERROR(FIND("M-3C",B90),-1)&gt;0,"J_M3C",IFERROR(FIND("M-3S",B90),-1)&gt;0,"J_M3S",IFERROR(FIND("M-3H",B90),-1)&gt;0,"J_M3H",IFERROR(FIND("H-IIA",B90),-1)&gt;0,"J_H2A",IFERROR(FIND("H-IIB",B90),-1)&gt;0,"J_H2B",IFERROR(FIND("H-II",B90),-1)&gt;0,"J_H2",IFERROR(FIND("H-I",B90),-1)&gt;0,"J_H1",IFERROR(FIND("N-II",B90),-1)&gt;0,"J_N2",IFERROR(FIND("N-I",B90),-1)&gt;0,"J_N1",IFERROR(FIND("イプシロン",B90),-1)&gt;0,"J_E",TRUE,"")</f>
        <v/>
      </c>
      <c r="G90" t="str">
        <f t="shared" si="6"/>
        <v/>
      </c>
      <c r="H90">
        <v>20170515</v>
      </c>
      <c r="I90" t="s">
        <v>1004</v>
      </c>
    </row>
    <row r="91" spans="1:9" ht="27" x14ac:dyDescent="0.15">
      <c r="A91" s="1" t="s">
        <v>554</v>
      </c>
      <c r="B91" s="2" t="s">
        <v>76</v>
      </c>
      <c r="C91">
        <f t="shared" si="5"/>
        <v>111</v>
      </c>
      <c r="D91" t="s">
        <v>1091</v>
      </c>
      <c r="E91" t="str" cm="1">
        <f t="array" ref="E91">_xlfn.IFS(IFERROR(FIND("M-3SII",B91),-1)&gt;0,"J_M3S2",IFERROR(FIND("M-V",B91),-1)&gt;0,"J_M5",IFERROR(FIND("M-4S",B91),-1)&gt;0,"J_M4S",IFERROR(FIND("M-3C",B91),-1)&gt;0,"J_M3C",IFERROR(FIND("M-3S",B91),-1)&gt;0,"J_M3S",IFERROR(FIND("M-3H",B91),-1)&gt;0,"J_M3H",IFERROR(FIND("H-IIA",B91),-1)&gt;0,"J_H2A",IFERROR(FIND("H-IIB",B91),-1)&gt;0,"J_H2B",IFERROR(FIND("H-II",B91),-1)&gt;0,"J_H2",IFERROR(FIND("H-I",B91),-1)&gt;0,"J_H1",IFERROR(FIND("N-II",B91),-1)&gt;0,"J_N2",IFERROR(FIND("N-I",B91),-1)&gt;0,"J_N1",IFERROR(FIND("イプシロン",B91),-1)&gt;0,"J_E",TRUE,"")</f>
        <v/>
      </c>
      <c r="G91" t="str">
        <f t="shared" si="6"/>
        <v/>
      </c>
    </row>
    <row r="92" spans="1:9" ht="27" x14ac:dyDescent="0.15">
      <c r="A92" s="1" t="s">
        <v>555</v>
      </c>
      <c r="B92" s="2" t="s">
        <v>77</v>
      </c>
      <c r="C92">
        <f t="shared" si="5"/>
        <v>71</v>
      </c>
      <c r="D92" t="s">
        <v>1448</v>
      </c>
      <c r="E92" t="str" cm="1">
        <f t="array" ref="E92">_xlfn.IFS(IFERROR(FIND("M-3SII",B92),-1)&gt;0,"J_M3S2",IFERROR(FIND("M-V",B92),-1)&gt;0,"J_M5",IFERROR(FIND("M-4S",B92),-1)&gt;0,"J_M4S",IFERROR(FIND("M-3C",B92),-1)&gt;0,"J_M3C",IFERROR(FIND("M-3S",B92),-1)&gt;0,"J_M3S",IFERROR(FIND("M-3H",B92),-1)&gt;0,"J_M3H",IFERROR(FIND("H-IIA",B92),-1)&gt;0,"J_H2A",IFERROR(FIND("H-IIB",B92),-1)&gt;0,"J_H2B",IFERROR(FIND("H-II",B92),-1)&gt;0,"J_H2",IFERROR(FIND("H-I",B92),-1)&gt;0,"J_H1",IFERROR(FIND("N-II",B92),-1)&gt;0,"J_N2",IFERROR(FIND("N-I",B92),-1)&gt;0,"J_N1",IFERROR(FIND("イプシロン",B92),-1)&gt;0,"J_E",TRUE,"")</f>
        <v>J_M3S</v>
      </c>
      <c r="F92">
        <v>1</v>
      </c>
      <c r="G92" t="str">
        <f t="shared" si="6"/>
        <v>J_M3S_1</v>
      </c>
    </row>
    <row r="93" spans="1:9" x14ac:dyDescent="0.15">
      <c r="A93" s="1" t="s">
        <v>556</v>
      </c>
      <c r="B93" s="2" t="s">
        <v>78</v>
      </c>
      <c r="C93">
        <f t="shared" si="5"/>
        <v>48</v>
      </c>
      <c r="D93" t="s">
        <v>1449</v>
      </c>
      <c r="E93" t="str" cm="1">
        <f t="array" ref="E93">_xlfn.IFS(IFERROR(FIND("M-3SII",B93),-1)&gt;0,"J_M3S2",IFERROR(FIND("M-V",B93),-1)&gt;0,"J_M5",IFERROR(FIND("M-4S",B93),-1)&gt;0,"J_M4S",IFERROR(FIND("M-3C",B93),-1)&gt;0,"J_M3C",IFERROR(FIND("M-3S",B93),-1)&gt;0,"J_M3S",IFERROR(FIND("M-3H",B93),-1)&gt;0,"J_M3H",IFERROR(FIND("H-IIA",B93),-1)&gt;0,"J_H2A",IFERROR(FIND("H-IIB",B93),-1)&gt;0,"J_H2B",IFERROR(FIND("H-II",B93),-1)&gt;0,"J_H2",IFERROR(FIND("H-I",B93),-1)&gt;0,"J_H1",IFERROR(FIND("N-II",B93),-1)&gt;0,"J_N2",IFERROR(FIND("N-I",B93),-1)&gt;0,"J_N1",IFERROR(FIND("イプシロン",B93),-1)&gt;0,"J_E",TRUE,"")</f>
        <v>J_M3S</v>
      </c>
      <c r="F93">
        <v>1</v>
      </c>
      <c r="G93" t="str">
        <f t="shared" si="6"/>
        <v>J_M3S_1</v>
      </c>
    </row>
    <row r="94" spans="1:9" ht="27" x14ac:dyDescent="0.15">
      <c r="A94" s="1" t="s">
        <v>1822</v>
      </c>
      <c r="B94" s="2" t="s">
        <v>1824</v>
      </c>
      <c r="C94">
        <f>LEN(B94)</f>
        <v>121</v>
      </c>
      <c r="D94" t="s">
        <v>1825</v>
      </c>
      <c r="E94" t="s">
        <v>1629</v>
      </c>
      <c r="F94">
        <v>2</v>
      </c>
      <c r="G94" t="str">
        <f t="shared" si="6"/>
        <v>J_H3_2</v>
      </c>
      <c r="H94">
        <v>20240225</v>
      </c>
      <c r="I94" t="s">
        <v>1007</v>
      </c>
    </row>
    <row r="95" spans="1:9" ht="27" x14ac:dyDescent="0.15">
      <c r="A95" s="1" t="s">
        <v>1823</v>
      </c>
      <c r="B95" s="2" t="s">
        <v>1827</v>
      </c>
      <c r="C95">
        <f>LEN(B95)</f>
        <v>81</v>
      </c>
      <c r="D95" t="s">
        <v>1826</v>
      </c>
      <c r="E95" t="s">
        <v>1629</v>
      </c>
      <c r="F95">
        <v>2</v>
      </c>
      <c r="G95" t="str">
        <f t="shared" si="6"/>
        <v>J_H3_2</v>
      </c>
      <c r="H95">
        <v>20240225</v>
      </c>
      <c r="I95" t="s">
        <v>1007</v>
      </c>
    </row>
    <row r="96" spans="1:9" ht="40.5" x14ac:dyDescent="0.15">
      <c r="A96" s="1" t="s">
        <v>557</v>
      </c>
      <c r="B96" s="2" t="s">
        <v>1036</v>
      </c>
      <c r="C96">
        <f t="shared" si="5"/>
        <v>131</v>
      </c>
      <c r="D96" t="s">
        <v>1092</v>
      </c>
      <c r="E96" t="s">
        <v>1590</v>
      </c>
      <c r="F96">
        <v>9</v>
      </c>
      <c r="G96" t="str">
        <f t="shared" si="6"/>
        <v>J_H2A_9</v>
      </c>
      <c r="H96">
        <v>20230217</v>
      </c>
      <c r="I96" t="s">
        <v>1018</v>
      </c>
    </row>
    <row r="97" spans="1:7" ht="27" x14ac:dyDescent="0.15">
      <c r="A97" s="1" t="s">
        <v>559</v>
      </c>
      <c r="B97" s="2" t="s">
        <v>80</v>
      </c>
      <c r="C97">
        <f t="shared" si="5"/>
        <v>93</v>
      </c>
      <c r="D97" t="s">
        <v>1451</v>
      </c>
      <c r="E97" t="str" cm="1">
        <f t="array" ref="E97">_xlfn.IFS(IFERROR(FIND("M-3SII",B97),-1)&gt;0,"J_M3S2",IFERROR(FIND("M-V",B97),-1)&gt;0,"J_M5",IFERROR(FIND("M-4S",B97),-1)&gt;0,"J_M4S",IFERROR(FIND("M-3C",B97),-1)&gt;0,"J_M3C",IFERROR(FIND("M-3S",B97),-1)&gt;0,"J_M3S",IFERROR(FIND("M-3H",B97),-1)&gt;0,"J_M3H",IFERROR(FIND("H-IIA",B97),-1)&gt;0,"J_H2A",IFERROR(FIND("H-IIB",B97),-1)&gt;0,"J_H2B",IFERROR(FIND("H-II",B97),-1)&gt;0,"J_H2",IFERROR(FIND("H-I",B97),-1)&gt;0,"J_H1",IFERROR(FIND("N-II",B97),-1)&gt;0,"J_N2",IFERROR(FIND("N-I",B97),-1)&gt;0,"J_N1",IFERROR(FIND("イプシロン",B97),-1)&gt;0,"J_E",TRUE,"")</f>
        <v>J_H2A</v>
      </c>
      <c r="F97">
        <v>9</v>
      </c>
      <c r="G97" t="str">
        <f t="shared" si="6"/>
        <v>J_H2A_9</v>
      </c>
    </row>
    <row r="98" spans="1:7" ht="27" x14ac:dyDescent="0.15">
      <c r="A98" s="1" t="s">
        <v>558</v>
      </c>
      <c r="B98" s="2" t="s">
        <v>79</v>
      </c>
      <c r="C98">
        <f t="shared" si="5"/>
        <v>92</v>
      </c>
      <c r="D98" t="s">
        <v>1450</v>
      </c>
      <c r="E98" t="str" cm="1">
        <f t="array" ref="E98">_xlfn.IFS(IFERROR(FIND("M-3SII",B98),-1)&gt;0,"J_M3S2",IFERROR(FIND("M-V",B98),-1)&gt;0,"J_M5",IFERROR(FIND("M-4S",B98),-1)&gt;0,"J_M4S",IFERROR(FIND("M-3C",B98),-1)&gt;0,"J_M3C",IFERROR(FIND("M-3S",B98),-1)&gt;0,"J_M3S",IFERROR(FIND("M-3H",B98),-1)&gt;0,"J_M3H",IFERROR(FIND("H-IIA",B98),-1)&gt;0,"J_H2A",IFERROR(FIND("H-IIB",B98),-1)&gt;0,"J_H2B",IFERROR(FIND("H-II",B98),-1)&gt;0,"J_H2",IFERROR(FIND("H-I",B98),-1)&gt;0,"J_H1",IFERROR(FIND("N-II",B98),-1)&gt;0,"J_N2",IFERROR(FIND("N-I",B98),-1)&gt;0,"J_N1",IFERROR(FIND("イプシロン",B98),-1)&gt;0,"J_E",TRUE,"")</f>
        <v/>
      </c>
      <c r="G98" t="str">
        <f t="shared" si="6"/>
        <v/>
      </c>
    </row>
    <row r="99" spans="1:7" ht="27" x14ac:dyDescent="0.15">
      <c r="A99" s="1" t="s">
        <v>560</v>
      </c>
      <c r="B99" s="2" t="s">
        <v>81</v>
      </c>
      <c r="C99">
        <f t="shared" si="5"/>
        <v>108</v>
      </c>
      <c r="D99" t="s">
        <v>1093</v>
      </c>
      <c r="E99" t="str" cm="1">
        <f t="array" ref="E99">_xlfn.IFS(IFERROR(FIND("M-3SII",B99),-1)&gt;0,"J_M3S2",IFERROR(FIND("M-V",B99),-1)&gt;0,"J_M5",IFERROR(FIND("M-4S",B99),-1)&gt;0,"J_M4S",IFERROR(FIND("M-3C",B99),-1)&gt;0,"J_M3C",IFERROR(FIND("M-3S",B99),-1)&gt;0,"J_M3S",IFERROR(FIND("M-3H",B99),-1)&gt;0,"J_M3H",IFERROR(FIND("H-IIA",B99),-1)&gt;0,"J_H2A",IFERROR(FIND("H-IIB",B99),-1)&gt;0,"J_H2B",IFERROR(FIND("H-II",B99),-1)&gt;0,"J_H2",IFERROR(FIND("H-I",B99),-1)&gt;0,"J_H1",IFERROR(FIND("N-II",B99),-1)&gt;0,"J_N2",IFERROR(FIND("N-I",B99),-1)&gt;0,"J_N1",IFERROR(FIND("イプシロン",B99),-1)&gt;0,"J_E",TRUE,"")</f>
        <v>J_M3H</v>
      </c>
      <c r="F99">
        <v>1</v>
      </c>
      <c r="G99" t="str">
        <f t="shared" si="6"/>
        <v>J_M3H_1</v>
      </c>
    </row>
    <row r="100" spans="1:7" x14ac:dyDescent="0.15">
      <c r="A100" s="1" t="s">
        <v>562</v>
      </c>
      <c r="B100" s="2" t="s">
        <v>83</v>
      </c>
      <c r="C100">
        <f t="shared" si="5"/>
        <v>49</v>
      </c>
      <c r="D100" t="s">
        <v>1453</v>
      </c>
      <c r="E100" t="str" cm="1">
        <f t="array" ref="E100">_xlfn.IFS(IFERROR(FIND("M-3SII",B100),-1)&gt;0,"J_M3S2",IFERROR(FIND("M-V",B100),-1)&gt;0,"J_M5",IFERROR(FIND("M-4S",B100),-1)&gt;0,"J_M4S",IFERROR(FIND("M-3C",B100),-1)&gt;0,"J_M3C",IFERROR(FIND("M-3S",B100),-1)&gt;0,"J_M3S",IFERROR(FIND("M-3H",B100),-1)&gt;0,"J_M3H",IFERROR(FIND("H-IIA",B100),-1)&gt;0,"J_H2A",IFERROR(FIND("H-IIB",B100),-1)&gt;0,"J_H2B",IFERROR(FIND("H-II",B100),-1)&gt;0,"J_H2",IFERROR(FIND("H-I",B100),-1)&gt;0,"J_H1",IFERROR(FIND("N-II",B100),-1)&gt;0,"J_N2",IFERROR(FIND("N-I",B100),-1)&gt;0,"J_N1",IFERROR(FIND("イプシロン",B100),-1)&gt;0,"J_E",TRUE,"")</f>
        <v>J_M3H</v>
      </c>
      <c r="F100">
        <v>1</v>
      </c>
      <c r="G100" t="str">
        <f t="shared" si="6"/>
        <v>J_M3H_1</v>
      </c>
    </row>
    <row r="101" spans="1:7" x14ac:dyDescent="0.15">
      <c r="A101" s="1" t="s">
        <v>561</v>
      </c>
      <c r="B101" s="2" t="s">
        <v>82</v>
      </c>
      <c r="C101">
        <f t="shared" si="5"/>
        <v>61</v>
      </c>
      <c r="D101" t="s">
        <v>1452</v>
      </c>
      <c r="E101" t="str" cm="1">
        <f t="array" ref="E101">_xlfn.IFS(IFERROR(FIND("M-3SII",B101),-1)&gt;0,"J_M3S2",IFERROR(FIND("M-V",B101),-1)&gt;0,"J_M5",IFERROR(FIND("M-4S",B101),-1)&gt;0,"J_M4S",IFERROR(FIND("M-3C",B101),-1)&gt;0,"J_M3C",IFERROR(FIND("M-3S",B101),-1)&gt;0,"J_M3S",IFERROR(FIND("M-3H",B101),-1)&gt;0,"J_M3H",IFERROR(FIND("H-IIA",B101),-1)&gt;0,"J_H2A",IFERROR(FIND("H-IIB",B101),-1)&gt;0,"J_H2B",IFERROR(FIND("H-II",B101),-1)&gt;0,"J_H2",IFERROR(FIND("H-I",B101),-1)&gt;0,"J_H1",IFERROR(FIND("N-II",B101),-1)&gt;0,"J_N2",IFERROR(FIND("N-I",B101),-1)&gt;0,"J_N1",IFERROR(FIND("イプシロン",B101),-1)&gt;0,"J_E",TRUE,"")</f>
        <v>J_N2</v>
      </c>
      <c r="F101">
        <v>8</v>
      </c>
      <c r="G101" t="str">
        <f t="shared" si="6"/>
        <v>J_N2_8</v>
      </c>
    </row>
    <row r="102" spans="1:7" ht="27" x14ac:dyDescent="0.15">
      <c r="A102" s="1" t="s">
        <v>563</v>
      </c>
      <c r="B102" s="2" t="s">
        <v>84</v>
      </c>
      <c r="C102">
        <f t="shared" si="5"/>
        <v>104</v>
      </c>
      <c r="D102" t="s">
        <v>1094</v>
      </c>
      <c r="E102" t="s">
        <v>1597</v>
      </c>
      <c r="F102">
        <v>3</v>
      </c>
      <c r="G102" t="str">
        <f t="shared" si="6"/>
        <v>J_M3S_3</v>
      </c>
    </row>
    <row r="103" spans="1:7" x14ac:dyDescent="0.15">
      <c r="A103" s="1" t="s">
        <v>567</v>
      </c>
      <c r="B103" s="2" t="s">
        <v>88</v>
      </c>
      <c r="C103">
        <f t="shared" si="5"/>
        <v>52</v>
      </c>
      <c r="D103" t="s">
        <v>1457</v>
      </c>
      <c r="E103" t="str" cm="1">
        <f t="array" ref="E103">_xlfn.IFS(IFERROR(FIND("M-3SII",B103),-1)&gt;0,"J_M3S2",IFERROR(FIND("M-V",B103),-1)&gt;0,"J_M5",IFERROR(FIND("M-4S",B103),-1)&gt;0,"J_M4S",IFERROR(FIND("M-3C",B103),-1)&gt;0,"J_M3C",IFERROR(FIND("M-3S",B103),-1)&gt;0,"J_M3S",IFERROR(FIND("M-3H",B103),-1)&gt;0,"J_M3H",IFERROR(FIND("H-IIA",B103),-1)&gt;0,"J_H2A",IFERROR(FIND("H-IIB",B103),-1)&gt;0,"J_H2B",IFERROR(FIND("H-II",B103),-1)&gt;0,"J_H2",IFERROR(FIND("H-I",B103),-1)&gt;0,"J_H1",IFERROR(FIND("N-II",B103),-1)&gt;0,"J_N2",IFERROR(FIND("N-I",B103),-1)&gt;0,"J_N1",IFERROR(FIND("イプシロン",B103),-1)&gt;0,"J_E",TRUE,"")</f>
        <v>J_M3S</v>
      </c>
      <c r="F103">
        <v>3</v>
      </c>
      <c r="G103" t="str">
        <f t="shared" si="6"/>
        <v>J_M3S_3</v>
      </c>
    </row>
    <row r="104" spans="1:7" ht="27" x14ac:dyDescent="0.15">
      <c r="A104" s="1" t="s">
        <v>564</v>
      </c>
      <c r="B104" s="2" t="s">
        <v>85</v>
      </c>
      <c r="C104">
        <f t="shared" si="5"/>
        <v>112</v>
      </c>
      <c r="D104" t="s">
        <v>1454</v>
      </c>
      <c r="E104" t="str" cm="1">
        <f t="array" ref="E104">_xlfn.IFS(IFERROR(FIND("M-3SII",B104),-1)&gt;0,"J_M3S2",IFERROR(FIND("M-V",B104),-1)&gt;0,"J_M5",IFERROR(FIND("M-4S",B104),-1)&gt;0,"J_M4S",IFERROR(FIND("M-3C",B104),-1)&gt;0,"J_M3C",IFERROR(FIND("M-3S",B104),-1)&gt;0,"J_M3S",IFERROR(FIND("M-3H",B104),-1)&gt;0,"J_M3H",IFERROR(FIND("H-IIA",B104),-1)&gt;0,"J_H2A",IFERROR(FIND("H-IIB",B104),-1)&gt;0,"J_H2B",IFERROR(FIND("H-II",B104),-1)&gt;0,"J_H2",IFERROR(FIND("H-I",B104),-1)&gt;0,"J_H1",IFERROR(FIND("N-II",B104),-1)&gt;0,"J_N2",IFERROR(FIND("N-I",B104),-1)&gt;0,"J_N1",IFERROR(FIND("イプシロン",B104),-1)&gt;0,"J_E",TRUE,"")</f>
        <v>J_M3S2</v>
      </c>
      <c r="F104">
        <v>7</v>
      </c>
      <c r="G104" t="str">
        <f t="shared" si="6"/>
        <v>J_M3S2_7</v>
      </c>
    </row>
    <row r="105" spans="1:7" x14ac:dyDescent="0.15">
      <c r="A105" s="1" t="s">
        <v>566</v>
      </c>
      <c r="B105" s="2" t="s">
        <v>87</v>
      </c>
      <c r="C105">
        <f t="shared" si="5"/>
        <v>54</v>
      </c>
      <c r="D105" t="s">
        <v>1456</v>
      </c>
      <c r="E105" t="str" cm="1">
        <f t="array" ref="E105">_xlfn.IFS(IFERROR(FIND("M-3SII",B105),-1)&gt;0,"J_M3S2",IFERROR(FIND("M-V",B105),-1)&gt;0,"J_M5",IFERROR(FIND("M-4S",B105),-1)&gt;0,"J_M4S",IFERROR(FIND("M-3C",B105),-1)&gt;0,"J_M3C",IFERROR(FIND("M-3S",B105),-1)&gt;0,"J_M3S",IFERROR(FIND("M-3H",B105),-1)&gt;0,"J_M3H",IFERROR(FIND("H-IIA",B105),-1)&gt;0,"J_H2A",IFERROR(FIND("H-IIB",B105),-1)&gt;0,"J_H2B",IFERROR(FIND("H-II",B105),-1)&gt;0,"J_H2",IFERROR(FIND("H-I",B105),-1)&gt;0,"J_H1",IFERROR(FIND("N-II",B105),-1)&gt;0,"J_N2",IFERROR(FIND("N-I",B105),-1)&gt;0,"J_N1",IFERROR(FIND("イプシロン",B105),-1)&gt;0,"J_E",TRUE,"")</f>
        <v>J_M3S2</v>
      </c>
      <c r="F105">
        <v>7</v>
      </c>
      <c r="G105" t="str">
        <f t="shared" si="6"/>
        <v>J_M3S2_7</v>
      </c>
    </row>
    <row r="106" spans="1:7" ht="40.5" x14ac:dyDescent="0.15">
      <c r="A106" s="1" t="s">
        <v>565</v>
      </c>
      <c r="B106" s="2" t="s">
        <v>86</v>
      </c>
      <c r="C106">
        <f t="shared" si="5"/>
        <v>131</v>
      </c>
      <c r="D106" t="s">
        <v>1455</v>
      </c>
      <c r="E106" t="s">
        <v>1598</v>
      </c>
      <c r="F106">
        <v>8</v>
      </c>
      <c r="G106" t="str">
        <f t="shared" si="6"/>
        <v>J_M5_8</v>
      </c>
    </row>
    <row r="107" spans="1:7" x14ac:dyDescent="0.15">
      <c r="A107" s="1" t="s">
        <v>568</v>
      </c>
      <c r="B107" s="2" t="s">
        <v>89</v>
      </c>
      <c r="C107">
        <f t="shared" si="5"/>
        <v>51</v>
      </c>
      <c r="D107" t="s">
        <v>1459</v>
      </c>
      <c r="E107" t="str" cm="1">
        <f t="array" ref="E107">_xlfn.IFS(IFERROR(FIND("M-3SII",B107),-1)&gt;0,"J_M3S2",IFERROR(FIND("M-V",B107),-1)&gt;0,"J_M5",IFERROR(FIND("M-4S",B107),-1)&gt;0,"J_M4S",IFERROR(FIND("M-3C",B107),-1)&gt;0,"J_M3C",IFERROR(FIND("M-3S",B107),-1)&gt;0,"J_M3S",IFERROR(FIND("M-3H",B107),-1)&gt;0,"J_M3H",IFERROR(FIND("H-IIA",B107),-1)&gt;0,"J_H2A",IFERROR(FIND("H-IIB",B107),-1)&gt;0,"J_H2B",IFERROR(FIND("H-II",B107),-1)&gt;0,"J_H2",IFERROR(FIND("H-I",B107),-1)&gt;0,"J_H1",IFERROR(FIND("N-II",B107),-1)&gt;0,"J_N2",IFERROR(FIND("N-I",B107),-1)&gt;0,"J_N1",IFERROR(FIND("イプシロン",B107),-1)&gt;0,"J_E",TRUE,"")</f>
        <v>J_M5</v>
      </c>
      <c r="F107">
        <v>8</v>
      </c>
      <c r="G107" t="str">
        <f t="shared" si="6"/>
        <v>J_M5_8</v>
      </c>
    </row>
    <row r="108" spans="1:7" ht="27" x14ac:dyDescent="0.15">
      <c r="A108" s="1" t="s">
        <v>569</v>
      </c>
      <c r="B108" s="2" t="s">
        <v>90</v>
      </c>
      <c r="C108">
        <f t="shared" si="5"/>
        <v>93</v>
      </c>
      <c r="D108" t="s">
        <v>1460</v>
      </c>
      <c r="E108" t="str" cm="1">
        <f t="array" ref="E108">_xlfn.IFS(IFERROR(FIND("M-3SII",B108),-1)&gt;0,"J_M3S2",IFERROR(FIND("M-V",B108),-1)&gt;0,"J_M5",IFERROR(FIND("M-4S",B108),-1)&gt;0,"J_M4S",IFERROR(FIND("M-3C",B108),-1)&gt;0,"J_M3C",IFERROR(FIND("M-3S",B108),-1)&gt;0,"J_M3S",IFERROR(FIND("M-3H",B108),-1)&gt;0,"J_M3H",IFERROR(FIND("H-IIA",B108),-1)&gt;0,"J_H2A",IFERROR(FIND("H-IIB",B108),-1)&gt;0,"J_H2B",IFERROR(FIND("H-II",B108),-1)&gt;0,"J_H2",IFERROR(FIND("H-I",B108),-1)&gt;0,"J_H1",IFERROR(FIND("N-II",B108),-1)&gt;0,"J_N2",IFERROR(FIND("N-I",B108),-1)&gt;0,"J_N1",IFERROR(FIND("イプシロン",B108),-1)&gt;0,"J_E",TRUE,"")</f>
        <v>J_M5</v>
      </c>
      <c r="F108">
        <v>8</v>
      </c>
      <c r="G108" t="str">
        <f t="shared" si="6"/>
        <v>J_M5_8</v>
      </c>
    </row>
    <row r="109" spans="1:7" ht="27" x14ac:dyDescent="0.15">
      <c r="A109" s="1" t="s">
        <v>570</v>
      </c>
      <c r="B109" s="2" t="s">
        <v>91</v>
      </c>
      <c r="C109">
        <f t="shared" si="5"/>
        <v>115</v>
      </c>
      <c r="D109" t="s">
        <v>1461</v>
      </c>
      <c r="E109" t="str" cm="1">
        <f t="array" ref="E109">_xlfn.IFS(IFERROR(FIND("M-3SII",B109),-1)&gt;0,"J_M3S2",IFERROR(FIND("M-V",B109),-1)&gt;0,"J_M5",IFERROR(FIND("M-4S",B109),-1)&gt;0,"J_M4S",IFERROR(FIND("M-3C",B109),-1)&gt;0,"J_M3C",IFERROR(FIND("M-3S",B109),-1)&gt;0,"J_M3S",IFERROR(FIND("M-3H",B109),-1)&gt;0,"J_M3H",IFERROR(FIND("H-IIA",B109),-1)&gt;0,"J_H2A",IFERROR(FIND("H-IIB",B109),-1)&gt;0,"J_H2B",IFERROR(FIND("H-II",B109),-1)&gt;0,"J_H2",IFERROR(FIND("H-I",B109),-1)&gt;0,"J_H1",IFERROR(FIND("N-II",B109),-1)&gt;0,"J_N2",IFERROR(FIND("N-I",B109),-1)&gt;0,"J_N1",IFERROR(FIND("イプシロン",B109),-1)&gt;0,"J_E",TRUE,"")</f>
        <v>J_M5</v>
      </c>
      <c r="F109">
        <v>8</v>
      </c>
      <c r="G109" t="str">
        <f t="shared" si="6"/>
        <v>J_M5_8</v>
      </c>
    </row>
    <row r="110" spans="1:7" ht="27" x14ac:dyDescent="0.15">
      <c r="A110" s="1" t="s">
        <v>571</v>
      </c>
      <c r="B110" s="2" t="s">
        <v>92</v>
      </c>
      <c r="C110">
        <f t="shared" si="5"/>
        <v>117</v>
      </c>
      <c r="D110" t="s">
        <v>1095</v>
      </c>
      <c r="E110" t="s">
        <v>1599</v>
      </c>
      <c r="F110">
        <v>4</v>
      </c>
      <c r="G110" t="str">
        <f t="shared" si="6"/>
        <v>J_M3C_4</v>
      </c>
    </row>
    <row r="111" spans="1:7" x14ac:dyDescent="0.15">
      <c r="A111" s="1" t="s">
        <v>574</v>
      </c>
      <c r="B111" s="2" t="s">
        <v>95</v>
      </c>
      <c r="C111">
        <f t="shared" si="5"/>
        <v>52</v>
      </c>
      <c r="D111" t="s">
        <v>1464</v>
      </c>
      <c r="E111" t="str" cm="1">
        <f t="array" ref="E111">_xlfn.IFS(IFERROR(FIND("M-3SII",B111),-1)&gt;0,"J_M3S2",IFERROR(FIND("M-V",B111),-1)&gt;0,"J_M5",IFERROR(FIND("M-4S",B111),-1)&gt;0,"J_M4S",IFERROR(FIND("M-3C",B111),-1)&gt;0,"J_M3C",IFERROR(FIND("M-3S",B111),-1)&gt;0,"J_M3S",IFERROR(FIND("M-3H",B111),-1)&gt;0,"J_M3H",IFERROR(FIND("H-IIA",B111),-1)&gt;0,"J_H2A",IFERROR(FIND("H-IIB",B111),-1)&gt;0,"J_H2B",IFERROR(FIND("H-II",B111),-1)&gt;0,"J_H2",IFERROR(FIND("H-I",B111),-1)&gt;0,"J_H1",IFERROR(FIND("N-II",B111),-1)&gt;0,"J_N2",IFERROR(FIND("N-I",B111),-1)&gt;0,"J_N1",IFERROR(FIND("イプシロン",B111),-1)&gt;0,"J_E",TRUE,"")</f>
        <v>J_M3S</v>
      </c>
      <c r="F111">
        <v>2</v>
      </c>
      <c r="G111" t="str">
        <f t="shared" si="6"/>
        <v>J_M3S_2</v>
      </c>
    </row>
    <row r="112" spans="1:7" x14ac:dyDescent="0.15">
      <c r="A112" s="1" t="s">
        <v>575</v>
      </c>
      <c r="B112" s="2" t="s">
        <v>96</v>
      </c>
      <c r="C112">
        <f t="shared" si="5"/>
        <v>54</v>
      </c>
      <c r="D112" t="s">
        <v>1465</v>
      </c>
      <c r="E112" t="str" cm="1">
        <f t="array" ref="E112">_xlfn.IFS(IFERROR(FIND("M-3SII",B112),-1)&gt;0,"J_M3S2",IFERROR(FIND("M-V",B112),-1)&gt;0,"J_M5",IFERROR(FIND("M-4S",B112),-1)&gt;0,"J_M4S",IFERROR(FIND("M-3C",B112),-1)&gt;0,"J_M3C",IFERROR(FIND("M-3S",B112),-1)&gt;0,"J_M3S",IFERROR(FIND("M-3H",B112),-1)&gt;0,"J_M3H",IFERROR(FIND("H-IIA",B112),-1)&gt;0,"J_H2A",IFERROR(FIND("H-IIB",B112),-1)&gt;0,"J_H2B",IFERROR(FIND("H-II",B112),-1)&gt;0,"J_H2",IFERROR(FIND("H-I",B112),-1)&gt;0,"J_H1",IFERROR(FIND("N-II",B112),-1)&gt;0,"J_N2",IFERROR(FIND("N-I",B112),-1)&gt;0,"J_N1",IFERROR(FIND("イプシロン",B112),-1)&gt;0,"J_E",TRUE,"")</f>
        <v>J_M3C</v>
      </c>
      <c r="F112">
        <v>4</v>
      </c>
      <c r="G112" t="str">
        <f t="shared" si="6"/>
        <v>J_M3C_4</v>
      </c>
    </row>
    <row r="113" spans="1:7" ht="27" x14ac:dyDescent="0.15">
      <c r="A113" s="1" t="s">
        <v>572</v>
      </c>
      <c r="B113" s="2" t="s">
        <v>93</v>
      </c>
      <c r="C113">
        <f t="shared" si="5"/>
        <v>114</v>
      </c>
      <c r="D113" t="s">
        <v>1462</v>
      </c>
      <c r="E113" t="s">
        <v>1588</v>
      </c>
      <c r="F113">
        <v>4</v>
      </c>
      <c r="G113" t="str">
        <f t="shared" si="6"/>
        <v>J_M3S2_4</v>
      </c>
    </row>
    <row r="114" spans="1:7" x14ac:dyDescent="0.15">
      <c r="A114" s="1" t="s">
        <v>578</v>
      </c>
      <c r="B114" s="2" t="s">
        <v>99</v>
      </c>
      <c r="C114">
        <f t="shared" si="5"/>
        <v>57</v>
      </c>
      <c r="D114" t="s">
        <v>1466</v>
      </c>
      <c r="E114" t="str" cm="1">
        <f t="array" ref="E114">_xlfn.IFS(IFERROR(FIND("M-3SII",B114),-1)&gt;0,"J_M3S2",IFERROR(FIND("M-V",B114),-1)&gt;0,"J_M5",IFERROR(FIND("M-4S",B114),-1)&gt;0,"J_M4S",IFERROR(FIND("M-3C",B114),-1)&gt;0,"J_M3C",IFERROR(FIND("M-3S",B114),-1)&gt;0,"J_M3S",IFERROR(FIND("M-3H",B114),-1)&gt;0,"J_M3H",IFERROR(FIND("H-IIA",B114),-1)&gt;0,"J_H2A",IFERROR(FIND("H-IIB",B114),-1)&gt;0,"J_H2B",IFERROR(FIND("H-II",B114),-1)&gt;0,"J_H2",IFERROR(FIND("H-I",B114),-1)&gt;0,"J_H1",IFERROR(FIND("N-II",B114),-1)&gt;0,"J_N2",IFERROR(FIND("N-I",B114),-1)&gt;0,"J_N1",IFERROR(FIND("イプシロン",B114),-1)&gt;0,"J_E",TRUE,"")</f>
        <v>J_M3S2</v>
      </c>
      <c r="F114">
        <v>4</v>
      </c>
      <c r="G114" t="str">
        <f t="shared" si="6"/>
        <v>J_M3S2_4</v>
      </c>
    </row>
    <row r="115" spans="1:7" ht="27" x14ac:dyDescent="0.15">
      <c r="A115" s="1" t="s">
        <v>573</v>
      </c>
      <c r="B115" s="2" t="s">
        <v>94</v>
      </c>
      <c r="C115">
        <f t="shared" si="5"/>
        <v>106</v>
      </c>
      <c r="D115" t="s">
        <v>1463</v>
      </c>
      <c r="E115" t="str" cm="1">
        <f t="array" ref="E115">_xlfn.IFS(IFERROR(FIND("M-3SII",B115),-1)&gt;0,"J_M3S2",IFERROR(FIND("M-V",B115),-1)&gt;0,"J_M5",IFERROR(FIND("M-4S",B115),-1)&gt;0,"J_M4S",IFERROR(FIND("M-3C",B115),-1)&gt;0,"J_M3C",IFERROR(FIND("M-3S",B115),-1)&gt;0,"J_M3S",IFERROR(FIND("M-3H",B115),-1)&gt;0,"J_M3H",IFERROR(FIND("H-IIA",B115),-1)&gt;0,"J_H2A",IFERROR(FIND("H-IIB",B115),-1)&gt;0,"J_H2B",IFERROR(FIND("H-II",B115),-1)&gt;0,"J_H2",IFERROR(FIND("H-I",B115),-1)&gt;0,"J_H1",IFERROR(FIND("N-II",B115),-1)&gt;0,"J_N2",IFERROR(FIND("N-I",B115),-1)&gt;0,"J_N1",IFERROR(FIND("イプシロン",B115),-1)&gt;0,"J_E",TRUE,"")</f>
        <v>J_H2</v>
      </c>
      <c r="F115">
        <v>5</v>
      </c>
      <c r="G115" t="str">
        <f t="shared" si="6"/>
        <v>J_H2_5</v>
      </c>
    </row>
    <row r="116" spans="1:7" ht="27" x14ac:dyDescent="0.15">
      <c r="A116" s="1" t="s">
        <v>576</v>
      </c>
      <c r="B116" s="2" t="s">
        <v>97</v>
      </c>
      <c r="C116">
        <f t="shared" si="5"/>
        <v>97</v>
      </c>
      <c r="D116" t="s">
        <v>1458</v>
      </c>
      <c r="E116" t="str" cm="1">
        <f t="array" ref="E116">_xlfn.IFS(IFERROR(FIND("M-3SII",B116),-1)&gt;0,"J_M3S2",IFERROR(FIND("M-V",B116),-1)&gt;0,"J_M5",IFERROR(FIND("M-4S",B116),-1)&gt;0,"J_M4S",IFERROR(FIND("M-3C",B116),-1)&gt;0,"J_M3C",IFERROR(FIND("M-3S",B116),-1)&gt;0,"J_M3S",IFERROR(FIND("M-3H",B116),-1)&gt;0,"J_M3H",IFERROR(FIND("H-IIA",B116),-1)&gt;0,"J_H2A",IFERROR(FIND("H-IIB",B116),-1)&gt;0,"J_H2B",IFERROR(FIND("H-II",B116),-1)&gt;0,"J_H2",IFERROR(FIND("H-I",B116),-1)&gt;0,"J_H1",IFERROR(FIND("N-II",B116),-1)&gt;0,"J_N2",IFERROR(FIND("N-I",B116),-1)&gt;0,"J_N1",IFERROR(FIND("イプシロン",B116),-1)&gt;0,"J_E",TRUE,"")</f>
        <v>J_H2</v>
      </c>
      <c r="F116">
        <v>5</v>
      </c>
      <c r="G116" t="str">
        <f t="shared" si="6"/>
        <v>J_H2_5</v>
      </c>
    </row>
    <row r="117" spans="1:7" ht="27" x14ac:dyDescent="0.15">
      <c r="A117" s="1" t="s">
        <v>577</v>
      </c>
      <c r="B117" s="2" t="s">
        <v>98</v>
      </c>
      <c r="C117">
        <f t="shared" si="5"/>
        <v>106</v>
      </c>
      <c r="D117" t="s">
        <v>1096</v>
      </c>
      <c r="E117" t="s">
        <v>1600</v>
      </c>
      <c r="F117">
        <v>6</v>
      </c>
      <c r="G117" t="str">
        <f t="shared" si="6"/>
        <v>J_N1_6</v>
      </c>
    </row>
    <row r="118" spans="1:7" x14ac:dyDescent="0.15">
      <c r="A118" s="1" t="s">
        <v>579</v>
      </c>
      <c r="B118" s="2" t="s">
        <v>100</v>
      </c>
      <c r="C118">
        <f t="shared" si="5"/>
        <v>47</v>
      </c>
      <c r="D118" t="s">
        <v>1467</v>
      </c>
      <c r="E118" t="str" cm="1">
        <f t="array" ref="E118">_xlfn.IFS(IFERROR(FIND("M-3SII",B118),-1)&gt;0,"J_M3S2",IFERROR(FIND("M-V",B118),-1)&gt;0,"J_M5",IFERROR(FIND("M-4S",B118),-1)&gt;0,"J_M4S",IFERROR(FIND("M-3C",B118),-1)&gt;0,"J_M3C",IFERROR(FIND("M-3S",B118),-1)&gt;0,"J_M3S",IFERROR(FIND("M-3H",B118),-1)&gt;0,"J_M3H",IFERROR(FIND("H-IIA",B118),-1)&gt;0,"J_H2A",IFERROR(FIND("H-IIB",B118),-1)&gt;0,"J_H2B",IFERROR(FIND("H-II",B118),-1)&gt;0,"J_H2",IFERROR(FIND("H-I",B118),-1)&gt;0,"J_H1",IFERROR(FIND("N-II",B118),-1)&gt;0,"J_N2",IFERROR(FIND("N-I",B118),-1)&gt;0,"J_N1",IFERROR(FIND("イプシロン",B118),-1)&gt;0,"J_E",TRUE,"")</f>
        <v>J_N1</v>
      </c>
      <c r="F118">
        <v>6</v>
      </c>
      <c r="G118" t="str">
        <f t="shared" si="6"/>
        <v>J_N1_6</v>
      </c>
    </row>
    <row r="119" spans="1:7" x14ac:dyDescent="0.15">
      <c r="A119" s="1" t="s">
        <v>580</v>
      </c>
      <c r="B119" s="2" t="s">
        <v>1025</v>
      </c>
      <c r="C119">
        <f t="shared" si="5"/>
        <v>48</v>
      </c>
      <c r="D119" t="s">
        <v>1097</v>
      </c>
      <c r="E119" t="s">
        <v>1600</v>
      </c>
      <c r="F119">
        <v>3</v>
      </c>
      <c r="G119" t="str">
        <f t="shared" si="6"/>
        <v>J_N1_3</v>
      </c>
    </row>
    <row r="120" spans="1:7" x14ac:dyDescent="0.15">
      <c r="A120" s="1" t="s">
        <v>581</v>
      </c>
      <c r="B120" s="2" t="s">
        <v>1027</v>
      </c>
      <c r="C120">
        <f t="shared" si="5"/>
        <v>46</v>
      </c>
      <c r="D120" t="s">
        <v>1469</v>
      </c>
      <c r="E120" t="str" cm="1">
        <f t="array" ref="E120">_xlfn.IFS(IFERROR(FIND("M-3SII",B120),-1)&gt;0,"J_M3S2",IFERROR(FIND("M-V",B120),-1)&gt;0,"J_M5",IFERROR(FIND("M-4S",B120),-1)&gt;0,"J_M4S",IFERROR(FIND("M-3C",B120),-1)&gt;0,"J_M3C",IFERROR(FIND("M-3S",B120),-1)&gt;0,"J_M3S",IFERROR(FIND("M-3H",B120),-1)&gt;0,"J_M3H",IFERROR(FIND("H-IIA",B120),-1)&gt;0,"J_H2A",IFERROR(FIND("H-IIB",B120),-1)&gt;0,"J_H2B",IFERROR(FIND("H-II",B120),-1)&gt;0,"J_H2",IFERROR(FIND("H-I",B120),-1)&gt;0,"J_H1",IFERROR(FIND("N-II",B120),-1)&gt;0,"J_N2",IFERROR(FIND("N-I",B120),-1)&gt;0,"J_N1",IFERROR(FIND("イプシロン",B120),-1)&gt;0,"J_E",TRUE,"")</f>
        <v>J_N1</v>
      </c>
      <c r="F120">
        <v>3</v>
      </c>
      <c r="G120" t="str">
        <f t="shared" si="6"/>
        <v>J_N1_3</v>
      </c>
    </row>
    <row r="121" spans="1:7" ht="27" x14ac:dyDescent="0.15">
      <c r="A121" s="1" t="s">
        <v>1026</v>
      </c>
      <c r="B121" s="2" t="s">
        <v>1620</v>
      </c>
      <c r="C121">
        <f t="shared" si="5"/>
        <v>152</v>
      </c>
      <c r="D121" t="s">
        <v>1468</v>
      </c>
      <c r="E121" t="s">
        <v>1590</v>
      </c>
      <c r="F121">
        <v>14</v>
      </c>
      <c r="G121" t="str">
        <f t="shared" si="6"/>
        <v>J_H2A_14</v>
      </c>
    </row>
    <row r="122" spans="1:7" x14ac:dyDescent="0.15">
      <c r="A122" s="1" t="s">
        <v>582</v>
      </c>
      <c r="B122" s="2" t="s">
        <v>101</v>
      </c>
      <c r="C122">
        <f t="shared" si="5"/>
        <v>67</v>
      </c>
      <c r="D122" t="s">
        <v>1470</v>
      </c>
      <c r="E122" t="str" cm="1">
        <f t="array" ref="E122">_xlfn.IFS(IFERROR(FIND("M-3SII",B122),-1)&gt;0,"J_M3S2",IFERROR(FIND("M-V",B122),-1)&gt;0,"J_M5",IFERROR(FIND("M-4S",B122),-1)&gt;0,"J_M4S",IFERROR(FIND("M-3C",B122),-1)&gt;0,"J_M3C",IFERROR(FIND("M-3S",B122),-1)&gt;0,"J_M3S",IFERROR(FIND("M-3H",B122),-1)&gt;0,"J_M3H",IFERROR(FIND("H-IIA",B122),-1)&gt;0,"J_H2A",IFERROR(FIND("H-IIB",B122),-1)&gt;0,"J_H2B",IFERROR(FIND("H-II",B122),-1)&gt;0,"J_H2",IFERROR(FIND("H-I",B122),-1)&gt;0,"J_H1",IFERROR(FIND("N-II",B122),-1)&gt;0,"J_N2",IFERROR(FIND("N-I",B122),-1)&gt;0,"J_N1",IFERROR(FIND("イプシロン",B122),-1)&gt;0,"J_E",TRUE,"")</f>
        <v>J_H2A</v>
      </c>
      <c r="F122">
        <v>14</v>
      </c>
      <c r="G122" t="str">
        <f t="shared" si="6"/>
        <v>J_H2A_14</v>
      </c>
    </row>
    <row r="123" spans="1:7" ht="27" x14ac:dyDescent="0.15">
      <c r="A123" s="1" t="s">
        <v>583</v>
      </c>
      <c r="B123" s="2" t="s">
        <v>102</v>
      </c>
      <c r="C123">
        <f t="shared" si="5"/>
        <v>76</v>
      </c>
      <c r="D123" t="s">
        <v>1098</v>
      </c>
      <c r="E123" t="s">
        <v>1590</v>
      </c>
      <c r="F123">
        <v>12</v>
      </c>
      <c r="G123" t="str">
        <f t="shared" si="6"/>
        <v>J_H2A_12</v>
      </c>
    </row>
    <row r="124" spans="1:7" ht="27" x14ac:dyDescent="0.15">
      <c r="A124" s="1" t="s">
        <v>585</v>
      </c>
      <c r="B124" s="2" t="s">
        <v>104</v>
      </c>
      <c r="C124">
        <f t="shared" si="5"/>
        <v>68</v>
      </c>
      <c r="D124" t="s">
        <v>1471</v>
      </c>
      <c r="E124" t="str" cm="1">
        <f t="array" ref="E124">_xlfn.IFS(IFERROR(FIND("M-3SII",B124),-1)&gt;0,"J_M3S2",IFERROR(FIND("M-V",B124),-1)&gt;0,"J_M5",IFERROR(FIND("M-4S",B124),-1)&gt;0,"J_M4S",IFERROR(FIND("M-3C",B124),-1)&gt;0,"J_M3C",IFERROR(FIND("M-3S",B124),-1)&gt;0,"J_M3S",IFERROR(FIND("M-3H",B124),-1)&gt;0,"J_M3H",IFERROR(FIND("H-IIA",B124),-1)&gt;0,"J_H2A",IFERROR(FIND("H-IIB",B124),-1)&gt;0,"J_H2B",IFERROR(FIND("H-II",B124),-1)&gt;0,"J_H2",IFERROR(FIND("H-I",B124),-1)&gt;0,"J_H1",IFERROR(FIND("N-II",B124),-1)&gt;0,"J_N2",IFERROR(FIND("N-I",B124),-1)&gt;0,"J_N1",IFERROR(FIND("イプシロン",B124),-1)&gt;0,"J_E",TRUE,"")</f>
        <v>J_H2A</v>
      </c>
      <c r="F124">
        <v>12</v>
      </c>
      <c r="G124" t="str">
        <f t="shared" si="6"/>
        <v>J_H2A_12</v>
      </c>
    </row>
    <row r="125" spans="1:7" ht="27" x14ac:dyDescent="0.15">
      <c r="A125" s="1" t="s">
        <v>584</v>
      </c>
      <c r="B125" s="2" t="s">
        <v>103</v>
      </c>
      <c r="C125">
        <f t="shared" si="5"/>
        <v>109</v>
      </c>
      <c r="D125" t="s">
        <v>1472</v>
      </c>
      <c r="E125" t="str" cm="1">
        <f t="array" ref="E125">_xlfn.IFS(IFERROR(FIND("M-3SII",B125),-1)&gt;0,"J_M3S2",IFERROR(FIND("M-V",B125),-1)&gt;0,"J_M5",IFERROR(FIND("M-4S",B125),-1)&gt;0,"J_M4S",IFERROR(FIND("M-3C",B125),-1)&gt;0,"J_M3C",IFERROR(FIND("M-3S",B125),-1)&gt;0,"J_M3S",IFERROR(FIND("M-3H",B125),-1)&gt;0,"J_M3H",IFERROR(FIND("H-IIA",B125),-1)&gt;0,"J_H2A",IFERROR(FIND("H-IIB",B125),-1)&gt;0,"J_H2B",IFERROR(FIND("H-II",B125),-1)&gt;0,"J_H2",IFERROR(FIND("H-I",B125),-1)&gt;0,"J_H1",IFERROR(FIND("N-II",B125),-1)&gt;0,"J_N2",IFERROR(FIND("N-I",B125),-1)&gt;0,"J_N1",IFERROR(FIND("イプシロン",B125),-1)&gt;0,"J_E",TRUE,"")</f>
        <v/>
      </c>
      <c r="G125" t="str">
        <f t="shared" si="6"/>
        <v/>
      </c>
    </row>
    <row r="126" spans="1:7" ht="27" x14ac:dyDescent="0.15">
      <c r="A126" s="1" t="s">
        <v>586</v>
      </c>
      <c r="B126" s="2" t="s">
        <v>105</v>
      </c>
      <c r="C126">
        <f t="shared" si="5"/>
        <v>96</v>
      </c>
      <c r="D126" t="s">
        <v>1099</v>
      </c>
      <c r="E126" t="str" cm="1">
        <f t="array" ref="E126">_xlfn.IFS(IFERROR(FIND("M-3SII",B126),-1)&gt;0,"J_M3S2",IFERROR(FIND("M-V",B126),-1)&gt;0,"J_M5",IFERROR(FIND("M-4S",B126),-1)&gt;0,"J_M4S",IFERROR(FIND("M-3C",B126),-1)&gt;0,"J_M3C",IFERROR(FIND("M-3S",B126),-1)&gt;0,"J_M3S",IFERROR(FIND("M-3H",B126),-1)&gt;0,"J_M3H",IFERROR(FIND("H-IIA",B126),-1)&gt;0,"J_H2A",IFERROR(FIND("H-IIB",B126),-1)&gt;0,"J_H2B",IFERROR(FIND("H-II",B126),-1)&gt;0,"J_H2",IFERROR(FIND("H-I",B126),-1)&gt;0,"J_H1",IFERROR(FIND("N-II",B126),-1)&gt;0,"J_N2",IFERROR(FIND("N-I",B126),-1)&gt;0,"J_N1",IFERROR(FIND("イプシロン",B126),-1)&gt;0,"J_E",TRUE,"")</f>
        <v/>
      </c>
      <c r="G126" t="str">
        <f t="shared" si="6"/>
        <v/>
      </c>
    </row>
    <row r="127" spans="1:7" ht="27" x14ac:dyDescent="0.15">
      <c r="A127" s="1" t="s">
        <v>587</v>
      </c>
      <c r="B127" s="2" t="s">
        <v>106</v>
      </c>
      <c r="C127">
        <f t="shared" si="5"/>
        <v>108</v>
      </c>
      <c r="D127" t="s">
        <v>1100</v>
      </c>
      <c r="E127" t="str" cm="1">
        <f t="array" ref="E127">_xlfn.IFS(IFERROR(FIND("M-3SII",B127),-1)&gt;0,"J_M3S2",IFERROR(FIND("M-V",B127),-1)&gt;0,"J_M5",IFERROR(FIND("M-4S",B127),-1)&gt;0,"J_M4S",IFERROR(FIND("M-3C",B127),-1)&gt;0,"J_M3C",IFERROR(FIND("M-3S",B127),-1)&gt;0,"J_M3S",IFERROR(FIND("M-3H",B127),-1)&gt;0,"J_M3H",IFERROR(FIND("H-IIA",B127),-1)&gt;0,"J_H2A",IFERROR(FIND("H-IIB",B127),-1)&gt;0,"J_H2B",IFERROR(FIND("H-II",B127),-1)&gt;0,"J_H2",IFERROR(FIND("H-I",B127),-1)&gt;0,"J_H1",IFERROR(FIND("N-II",B127),-1)&gt;0,"J_N2",IFERROR(FIND("N-I",B127),-1)&gt;0,"J_N1",IFERROR(FIND("イプシロン",B127),-1)&gt;0,"J_E",TRUE,"")</f>
        <v>J_H2A</v>
      </c>
      <c r="F127">
        <v>7</v>
      </c>
      <c r="G127" t="str">
        <f t="shared" si="6"/>
        <v>J_H2A_7</v>
      </c>
    </row>
    <row r="128" spans="1:7" ht="27" x14ac:dyDescent="0.15">
      <c r="A128" s="1" t="s">
        <v>589</v>
      </c>
      <c r="B128" s="2" t="s">
        <v>108</v>
      </c>
      <c r="C128">
        <f t="shared" si="5"/>
        <v>112</v>
      </c>
      <c r="D128" t="s">
        <v>1474</v>
      </c>
      <c r="E128" t="str" cm="1">
        <f t="array" ref="E128">_xlfn.IFS(IFERROR(FIND("M-3SII",B128),-1)&gt;0,"J_M3S2",IFERROR(FIND("M-V",B128),-1)&gt;0,"J_M5",IFERROR(FIND("M-4S",B128),-1)&gt;0,"J_M4S",IFERROR(FIND("M-3C",B128),-1)&gt;0,"J_M3C",IFERROR(FIND("M-3S",B128),-1)&gt;0,"J_M3S",IFERROR(FIND("M-3H",B128),-1)&gt;0,"J_M3H",IFERROR(FIND("H-IIA",B128),-1)&gt;0,"J_H2A",IFERROR(FIND("H-IIB",B128),-1)&gt;0,"J_H2B",IFERROR(FIND("H-II",B128),-1)&gt;0,"J_H2",IFERROR(FIND("H-I",B128),-1)&gt;0,"J_H1",IFERROR(FIND("N-II",B128),-1)&gt;0,"J_N2",IFERROR(FIND("N-I",B128),-1)&gt;0,"J_N1",IFERROR(FIND("イプシロン",B128),-1)&gt;0,"J_E",TRUE,"")</f>
        <v>J_H2A</v>
      </c>
      <c r="F128">
        <v>7</v>
      </c>
      <c r="G128" t="str">
        <f t="shared" si="6"/>
        <v>J_H2A_7</v>
      </c>
    </row>
    <row r="129" spans="1:10" ht="27" x14ac:dyDescent="0.15">
      <c r="A129" s="1" t="s">
        <v>588</v>
      </c>
      <c r="B129" s="2" t="s">
        <v>107</v>
      </c>
      <c r="C129">
        <f t="shared" si="5"/>
        <v>83</v>
      </c>
      <c r="D129" t="s">
        <v>1473</v>
      </c>
      <c r="E129" t="str" cm="1">
        <f t="array" ref="E129">_xlfn.IFS(IFERROR(FIND("M-3SII",B129),-1)&gt;0,"J_M3S2",IFERROR(FIND("M-V",B129),-1)&gt;0,"J_M5",IFERROR(FIND("M-4S",B129),-1)&gt;0,"J_M4S",IFERROR(FIND("M-3C",B129),-1)&gt;0,"J_M3C",IFERROR(FIND("M-3S",B129),-1)&gt;0,"J_M3S",IFERROR(FIND("M-3H",B129),-1)&gt;0,"J_M3H",IFERROR(FIND("H-IIA",B129),-1)&gt;0,"J_H2A",IFERROR(FIND("H-IIB",B129),-1)&gt;0,"J_H2B",IFERROR(FIND("H-II",B129),-1)&gt;0,"J_H2",IFERROR(FIND("H-I",B129),-1)&gt;0,"J_H1",IFERROR(FIND("N-II",B129),-1)&gt;0,"J_N2",IFERROR(FIND("N-I",B129),-1)&gt;0,"J_N1",IFERROR(FIND("イプシロン",B129),-1)&gt;0,"J_E",TRUE,"")</f>
        <v/>
      </c>
      <c r="G129" t="str">
        <f t="shared" si="6"/>
        <v/>
      </c>
    </row>
    <row r="130" spans="1:10" ht="27" x14ac:dyDescent="0.15">
      <c r="A130" s="1" t="s">
        <v>590</v>
      </c>
      <c r="B130" s="2" t="s">
        <v>109</v>
      </c>
      <c r="C130">
        <f t="shared" si="5"/>
        <v>109</v>
      </c>
      <c r="D130" t="s">
        <v>1101</v>
      </c>
      <c r="E130" t="str" cm="1">
        <f t="array" ref="E130">_xlfn.IFS(IFERROR(FIND("M-3SII",B130),-1)&gt;0,"J_M3S2",IFERROR(FIND("M-V",B130),-1)&gt;0,"J_M5",IFERROR(FIND("M-4S",B130),-1)&gt;0,"J_M4S",IFERROR(FIND("M-3C",B130),-1)&gt;0,"J_M3C",IFERROR(FIND("M-3S",B130),-1)&gt;0,"J_M3S",IFERROR(FIND("M-3H",B130),-1)&gt;0,"J_M3H",IFERROR(FIND("H-IIA",B130),-1)&gt;0,"J_H2A",IFERROR(FIND("H-IIB",B130),-1)&gt;0,"J_H2B",IFERROR(FIND("H-II",B130),-1)&gt;0,"J_H2",IFERROR(FIND("H-I",B130),-1)&gt;0,"J_H1",IFERROR(FIND("N-II",B130),-1)&gt;0,"J_N2",IFERROR(FIND("N-I",B130),-1)&gt;0,"J_N1",IFERROR(FIND("イプシロン",B130),-1)&gt;0,"J_E",TRUE,"")</f>
        <v/>
      </c>
      <c r="G130" t="str">
        <f t="shared" si="6"/>
        <v/>
      </c>
    </row>
    <row r="131" spans="1:10" ht="27" x14ac:dyDescent="0.15">
      <c r="A131" s="1" t="s">
        <v>1005</v>
      </c>
      <c r="B131" s="2" t="s">
        <v>1006</v>
      </c>
      <c r="C131">
        <f t="shared" si="5"/>
        <v>108</v>
      </c>
      <c r="D131" t="s">
        <v>1475</v>
      </c>
      <c r="E131" t="s">
        <v>1590</v>
      </c>
      <c r="F131">
        <v>23</v>
      </c>
      <c r="G131" t="str">
        <f t="shared" si="6"/>
        <v>J_H2A_23</v>
      </c>
      <c r="H131">
        <v>20170515</v>
      </c>
      <c r="I131" t="s">
        <v>1007</v>
      </c>
    </row>
    <row r="132" spans="1:10" ht="27" x14ac:dyDescent="0.15">
      <c r="A132" s="1" t="s">
        <v>592</v>
      </c>
      <c r="B132" s="2" t="s">
        <v>1619</v>
      </c>
      <c r="C132">
        <f t="shared" si="5"/>
        <v>105</v>
      </c>
      <c r="D132" t="s">
        <v>1476</v>
      </c>
      <c r="E132" t="str" cm="1">
        <f t="array" ref="E132">_xlfn.IFS(IFERROR(FIND("M-3SII",B132),-1)&gt;0,"J_M3S2",IFERROR(FIND("M-V",B132),-1)&gt;0,"J_M5",IFERROR(FIND("M-4S",B132),-1)&gt;0,"J_M4S",IFERROR(FIND("M-3C",B132),-1)&gt;0,"J_M3C",IFERROR(FIND("M-3S",B132),-1)&gt;0,"J_M3S",IFERROR(FIND("M-3H",B132),-1)&gt;0,"J_M3H",IFERROR(FIND("H-IIA",B132),-1)&gt;0,"J_H2A",IFERROR(FIND("H-IIB",B132),-1)&gt;0,"J_H2B",IFERROR(FIND("H-II",B132),-1)&gt;0,"J_H2",IFERROR(FIND("H-I",B132),-1)&gt;0,"J_H1",IFERROR(FIND("N-II",B132),-1)&gt;0,"J_N2",IFERROR(FIND("N-I",B132),-1)&gt;0,"J_N1",IFERROR(FIND("イプシロン",B132),-1)&gt;0,"J_E",TRUE,"")</f>
        <v>J_H2A</v>
      </c>
      <c r="F132">
        <v>23</v>
      </c>
      <c r="G132" t="str">
        <f t="shared" si="6"/>
        <v>J_H2A_23</v>
      </c>
      <c r="H132">
        <v>20170515</v>
      </c>
      <c r="I132" t="s">
        <v>1004</v>
      </c>
    </row>
    <row r="133" spans="1:10" ht="27" x14ac:dyDescent="0.15">
      <c r="A133" s="1" t="s">
        <v>591</v>
      </c>
      <c r="B133" s="2" t="s">
        <v>110</v>
      </c>
      <c r="C133">
        <f t="shared" si="5"/>
        <v>105</v>
      </c>
      <c r="D133" t="s">
        <v>1102</v>
      </c>
      <c r="E133" t="str" cm="1">
        <f t="array" ref="E133">_xlfn.IFS(IFERROR(FIND("M-3SII",B133),-1)&gt;0,"J_M3S2",IFERROR(FIND("M-V",B133),-1)&gt;0,"J_M5",IFERROR(FIND("M-4S",B133),-1)&gt;0,"J_M4S",IFERROR(FIND("M-3C",B133),-1)&gt;0,"J_M3C",IFERROR(FIND("M-3S",B133),-1)&gt;0,"J_M3S",IFERROR(FIND("M-3H",B133),-1)&gt;0,"J_M3H",IFERROR(FIND("H-IIA",B133),-1)&gt;0,"J_H2A",IFERROR(FIND("H-IIB",B133),-1)&gt;0,"J_H2B",IFERROR(FIND("H-II",B133),-1)&gt;0,"J_H2",IFERROR(FIND("H-I",B133),-1)&gt;0,"J_H1",IFERROR(FIND("N-II",B133),-1)&gt;0,"J_N2",IFERROR(FIND("N-I",B133),-1)&gt;0,"J_N1",IFERROR(FIND("イプシロン",B133),-1)&gt;0,"J_E",TRUE,"")</f>
        <v/>
      </c>
      <c r="G133" t="str">
        <f t="shared" si="6"/>
        <v/>
      </c>
    </row>
    <row r="134" spans="1:10" ht="27" x14ac:dyDescent="0.15">
      <c r="A134" s="1" t="s">
        <v>111</v>
      </c>
      <c r="B134" s="2" t="s">
        <v>112</v>
      </c>
      <c r="C134">
        <f t="shared" si="5"/>
        <v>80</v>
      </c>
      <c r="D134" t="s">
        <v>1103</v>
      </c>
      <c r="E134" t="s">
        <v>1600</v>
      </c>
      <c r="F134">
        <v>2</v>
      </c>
      <c r="G134" t="str">
        <f t="shared" si="6"/>
        <v>J_N1_2</v>
      </c>
    </row>
    <row r="135" spans="1:10" ht="27" x14ac:dyDescent="0.15">
      <c r="A135" s="1" t="s">
        <v>113</v>
      </c>
      <c r="B135" s="2" t="s">
        <v>114</v>
      </c>
      <c r="C135">
        <f t="shared" si="5"/>
        <v>90</v>
      </c>
      <c r="D135" t="s">
        <v>1477</v>
      </c>
      <c r="E135" t="str" cm="1">
        <f t="array" ref="E135">_xlfn.IFS(IFERROR(FIND("M-3SII",B135),-1)&gt;0,"J_M3S2",IFERROR(FIND("M-V",B135),-1)&gt;0,"J_M5",IFERROR(FIND("M-4S",B135),-1)&gt;0,"J_M4S",IFERROR(FIND("M-3C",B135),-1)&gt;0,"J_M3C",IFERROR(FIND("M-3S",B135),-1)&gt;0,"J_M3S",IFERROR(FIND("M-3H",B135),-1)&gt;0,"J_M3H",IFERROR(FIND("H-IIA",B135),-1)&gt;0,"J_H2A",IFERROR(FIND("H-IIB",B135),-1)&gt;0,"J_H2B",IFERROR(FIND("H-II",B135),-1)&gt;0,"J_H2",IFERROR(FIND("H-I",B135),-1)&gt;0,"J_H1",IFERROR(FIND("N-II",B135),-1)&gt;0,"J_N2",IFERROR(FIND("N-I",B135),-1)&gt;0,"J_N1",IFERROR(FIND("イプシロン",B135),-1)&gt;0,"J_E",TRUE,"")</f>
        <v>J_N1</v>
      </c>
      <c r="F135">
        <v>2</v>
      </c>
      <c r="G135" t="str">
        <f t="shared" si="6"/>
        <v>J_N1_2</v>
      </c>
    </row>
    <row r="136" spans="1:10" ht="27" x14ac:dyDescent="0.15">
      <c r="A136" s="1" t="s">
        <v>593</v>
      </c>
      <c r="B136" s="2" t="s">
        <v>115</v>
      </c>
      <c r="C136">
        <f t="shared" ref="C136:C201" si="7">LEN(B136)</f>
        <v>81</v>
      </c>
      <c r="D136" t="s">
        <v>1104</v>
      </c>
      <c r="E136" t="str" cm="1">
        <f t="array" ref="E136">_xlfn.IFS(IFERROR(FIND("M-3SII",B136),-1)&gt;0,"J_M3S2",IFERROR(FIND("M-V",B136),-1)&gt;0,"J_M5",IFERROR(FIND("M-4S",B136),-1)&gt;0,"J_M4S",IFERROR(FIND("M-3C",B136),-1)&gt;0,"J_M3C",IFERROR(FIND("M-3S",B136),-1)&gt;0,"J_M3S",IFERROR(FIND("M-3H",B136),-1)&gt;0,"J_M3H",IFERROR(FIND("H-IIA",B136),-1)&gt;0,"J_H2A",IFERROR(FIND("H-IIB",B136),-1)&gt;0,"J_H2B",IFERROR(FIND("H-II",B136),-1)&gt;0,"J_H2",IFERROR(FIND("H-I",B136),-1)&gt;0,"J_H1",IFERROR(FIND("N-II",B136),-1)&gt;0,"J_N2",IFERROR(FIND("N-I",B136),-1)&gt;0,"J_N1",IFERROR(FIND("イプシロン",B136),-1)&gt;0,"J_E",TRUE,"")</f>
        <v/>
      </c>
      <c r="G136" t="str">
        <f t="shared" si="6"/>
        <v/>
      </c>
    </row>
    <row r="137" spans="1:10" ht="27" x14ac:dyDescent="0.15">
      <c r="A137" s="1" t="s">
        <v>594</v>
      </c>
      <c r="B137" s="2" t="s">
        <v>1618</v>
      </c>
      <c r="C137">
        <f t="shared" si="7"/>
        <v>131</v>
      </c>
      <c r="D137" t="s">
        <v>1105</v>
      </c>
      <c r="E137" t="str" cm="1">
        <f t="array" ref="E137">_xlfn.IFS(IFERROR(FIND("M-3SII",B137),-1)&gt;0,"J_M3S2",IFERROR(FIND("M-V",B137),-1)&gt;0,"J_M5",IFERROR(FIND("M-4S",B137),-1)&gt;0,"J_M4S",IFERROR(FIND("M-3C",B137),-1)&gt;0,"J_M3C",IFERROR(FIND("M-3S",B137),-1)&gt;0,"J_M3S",IFERROR(FIND("M-3H",B137),-1)&gt;0,"J_M3H",IFERROR(FIND("H-IIA",B137),-1)&gt;0,"J_H2A",IFERROR(FIND("H-IIB",B137),-1)&gt;0,"J_H2B",IFERROR(FIND("H-II",B137),-1)&gt;0,"J_H2",IFERROR(FIND("H-I",B137),-1)&gt;0,"J_H1",IFERROR(FIND("N-II",B137),-1)&gt;0,"J_N2",IFERROR(FIND("N-I",B137),-1)&gt;0,"J_N1",IFERROR(FIND("イプシロン",B137),-1)&gt;0,"J_E",TRUE,"")</f>
        <v/>
      </c>
      <c r="G137" t="str">
        <f t="shared" ref="G137:G202" si="8">IF(E137&lt;&gt;"",E137&amp;"_"&amp;F137,"")</f>
        <v/>
      </c>
      <c r="H137">
        <v>20170515</v>
      </c>
      <c r="I137" t="s">
        <v>1004</v>
      </c>
    </row>
    <row r="138" spans="1:10" ht="27" x14ac:dyDescent="0.15">
      <c r="A138" s="1" t="s">
        <v>595</v>
      </c>
      <c r="B138" s="2" t="s">
        <v>116</v>
      </c>
      <c r="C138">
        <f t="shared" si="7"/>
        <v>109</v>
      </c>
      <c r="D138" t="s">
        <v>1106</v>
      </c>
      <c r="E138" t="str" cm="1">
        <f t="array" ref="E138">_xlfn.IFS(IFERROR(FIND("M-3SII",B138),-1)&gt;0,"J_M3S2",IFERROR(FIND("M-V",B138),-1)&gt;0,"J_M5",IFERROR(FIND("M-4S",B138),-1)&gt;0,"J_M4S",IFERROR(FIND("M-3C",B138),-1)&gt;0,"J_M3C",IFERROR(FIND("M-3S",B138),-1)&gt;0,"J_M3S",IFERROR(FIND("M-3H",B138),-1)&gt;0,"J_M3H",IFERROR(FIND("H-IIA",B138),-1)&gt;0,"J_H2A",IFERROR(FIND("H-IIB",B138),-1)&gt;0,"J_H2B",IFERROR(FIND("H-II",B138),-1)&gt;0,"J_H2",IFERROR(FIND("H-I",B138),-1)&gt;0,"J_H1",IFERROR(FIND("N-II",B138),-1)&gt;0,"J_N2",IFERROR(FIND("N-I",B138),-1)&gt;0,"J_N1",IFERROR(FIND("イプシロン",B138),-1)&gt;0,"J_E",TRUE,"")</f>
        <v/>
      </c>
      <c r="G138" t="str">
        <f t="shared" si="8"/>
        <v/>
      </c>
    </row>
    <row r="139" spans="1:10" ht="40.5" x14ac:dyDescent="0.15">
      <c r="A139" s="1" t="s">
        <v>596</v>
      </c>
      <c r="B139" s="2" t="s">
        <v>1888</v>
      </c>
      <c r="C139">
        <f t="shared" si="7"/>
        <v>133</v>
      </c>
      <c r="D139" t="s">
        <v>1107</v>
      </c>
      <c r="E139" t="str" cm="1">
        <f t="array" ref="E139">_xlfn.IFS(IFERROR(FIND("M-3SII",B139),-1)&gt;0,"J_M3S2",IFERROR(FIND("M-V",B139),-1)&gt;0,"J_M5",IFERROR(FIND("M-4S",B139),-1)&gt;0,"J_M4S",IFERROR(FIND("M-3C",B139),-1)&gt;0,"J_M3C",IFERROR(FIND("M-3S",B139),-1)&gt;0,"J_M3S",IFERROR(FIND("M-3H",B139),-1)&gt;0,"J_M3H",IFERROR(FIND("H-IIA",B139),-1)&gt;0,"J_H2A",IFERROR(FIND("H-IIB",B139),-1)&gt;0,"J_H2B",IFERROR(FIND("H-II",B139),-1)&gt;0,"J_H2",IFERROR(FIND("H-I",B139),-1)&gt;0,"J_H1",IFERROR(FIND("N-II",B139),-1)&gt;0,"J_N2",IFERROR(FIND("N-I",B139),-1)&gt;0,"J_N1",IFERROR(FIND("イプシロン",B139),-1)&gt;0,"J_E",TRUE,"")</f>
        <v/>
      </c>
      <c r="G139" t="str">
        <f t="shared" si="8"/>
        <v/>
      </c>
      <c r="H139">
        <v>20250310</v>
      </c>
      <c r="I139" t="s">
        <v>1018</v>
      </c>
      <c r="J139" s="12" t="s">
        <v>1889</v>
      </c>
    </row>
    <row r="140" spans="1:10" ht="27" x14ac:dyDescent="0.15">
      <c r="A140" s="1" t="s">
        <v>597</v>
      </c>
      <c r="B140" s="2" t="s">
        <v>117</v>
      </c>
      <c r="C140">
        <f t="shared" si="7"/>
        <v>102</v>
      </c>
      <c r="D140" t="s">
        <v>1108</v>
      </c>
      <c r="E140" t="str" cm="1">
        <f t="array" ref="E140">_xlfn.IFS(IFERROR(FIND("M-3SII",B140),-1)&gt;0,"J_M3S2",IFERROR(FIND("M-V",B140),-1)&gt;0,"J_M5",IFERROR(FIND("M-4S",B140),-1)&gt;0,"J_M4S",IFERROR(FIND("M-3C",B140),-1)&gt;0,"J_M3C",IFERROR(FIND("M-3S",B140),-1)&gt;0,"J_M3S",IFERROR(FIND("M-3H",B140),-1)&gt;0,"J_M3H",IFERROR(FIND("H-IIA",B140),-1)&gt;0,"J_H2A",IFERROR(FIND("H-IIB",B140),-1)&gt;0,"J_H2B",IFERROR(FIND("H-II",B140),-1)&gt;0,"J_H2",IFERROR(FIND("H-I",B140),-1)&gt;0,"J_H1",IFERROR(FIND("N-II",B140),-1)&gt;0,"J_N2",IFERROR(FIND("N-I",B140),-1)&gt;0,"J_N1",IFERROR(FIND("イプシロン",B140),-1)&gt;0,"J_E",TRUE,"")</f>
        <v/>
      </c>
      <c r="G140" t="str">
        <f t="shared" si="8"/>
        <v/>
      </c>
    </row>
    <row r="141" spans="1:10" ht="40.5" x14ac:dyDescent="0.15">
      <c r="A141" s="1" t="s">
        <v>1836</v>
      </c>
      <c r="B141" s="2" t="s">
        <v>1834</v>
      </c>
      <c r="C141">
        <f t="shared" si="7"/>
        <v>196</v>
      </c>
      <c r="D141" t="s">
        <v>1109</v>
      </c>
      <c r="E141" t="str" cm="1">
        <f t="array" ref="E141">_xlfn.IFS(IFERROR(FIND("M-3SII",B141),-1)&gt;0,"J_M3S2",IFERROR(FIND("M-V",B141),-1)&gt;0,"J_M5",IFERROR(FIND("M-4S",B141),-1)&gt;0,"J_M4S",IFERROR(FIND("M-3C",B141),-1)&gt;0,"J_M3C",IFERROR(FIND("M-3S",B141),-1)&gt;0,"J_M3S",IFERROR(FIND("M-3H",B141),-1)&gt;0,"J_M3H",IFERROR(FIND("H-IIA",B141),-1)&gt;0,"J_H2A",IFERROR(FIND("H-IIB",B141),-1)&gt;0,"J_H2B",IFERROR(FIND("H-II",B141),-1)&gt;0,"J_H2",IFERROR(FIND("H-I",B141),-1)&gt;0,"J_H1",IFERROR(FIND("N-II",B141),-1)&gt;0,"J_N2",IFERROR(FIND("N-I",B141),-1)&gt;0,"J_N1",IFERROR(FIND("イプシロン",B141),-1)&gt;0,"J_E",TRUE,"")</f>
        <v/>
      </c>
      <c r="G141" t="str">
        <f t="shared" si="8"/>
        <v/>
      </c>
      <c r="H141">
        <v>20240305</v>
      </c>
      <c r="I141" t="s">
        <v>1016</v>
      </c>
      <c r="J141" t="s">
        <v>1835</v>
      </c>
    </row>
    <row r="142" spans="1:10" ht="40.5" x14ac:dyDescent="0.15">
      <c r="A142" s="1" t="s">
        <v>598</v>
      </c>
      <c r="B142" s="2" t="s">
        <v>992</v>
      </c>
      <c r="C142">
        <f t="shared" si="7"/>
        <v>132</v>
      </c>
      <c r="D142" t="s">
        <v>1110</v>
      </c>
      <c r="E142" t="str" cm="1">
        <f t="array" ref="E142">_xlfn.IFS(IFERROR(FIND("M-3SII",B142),-1)&gt;0,"J_M3S2",IFERROR(FIND("M-V",B142),-1)&gt;0,"J_M5",IFERROR(FIND("M-4S",B142),-1)&gt;0,"J_M4S",IFERROR(FIND("M-3C",B142),-1)&gt;0,"J_M3C",IFERROR(FIND("M-3S",B142),-1)&gt;0,"J_M3S",IFERROR(FIND("M-3H",B142),-1)&gt;0,"J_M3H",IFERROR(FIND("H-IIA",B142),-1)&gt;0,"J_H2A",IFERROR(FIND("H-IIB",B142),-1)&gt;0,"J_H2B",IFERROR(FIND("H-II",B142),-1)&gt;0,"J_H2",IFERROR(FIND("H-I",B142),-1)&gt;0,"J_H1",IFERROR(FIND("N-II",B142),-1)&gt;0,"J_N2",IFERROR(FIND("N-I",B142),-1)&gt;0,"J_N1",IFERROR(FIND("イプシロン",B142),-1)&gt;0,"J_E",TRUE,"")</f>
        <v/>
      </c>
      <c r="G142" t="str">
        <f t="shared" si="8"/>
        <v/>
      </c>
      <c r="H142">
        <v>20170515</v>
      </c>
      <c r="I142" t="s">
        <v>1004</v>
      </c>
    </row>
    <row r="143" spans="1:10" ht="27" x14ac:dyDescent="0.15">
      <c r="A143" s="1" t="s">
        <v>1818</v>
      </c>
      <c r="B143" s="2" t="s">
        <v>1819</v>
      </c>
      <c r="C143">
        <f t="shared" si="7"/>
        <v>97</v>
      </c>
      <c r="D143" t="s">
        <v>1816</v>
      </c>
      <c r="E143" t="s">
        <v>1629</v>
      </c>
      <c r="F143">
        <v>1</v>
      </c>
      <c r="G143" t="str">
        <f t="shared" si="8"/>
        <v>J_H3_1</v>
      </c>
      <c r="H143">
        <v>20240225</v>
      </c>
      <c r="I143" t="s">
        <v>1007</v>
      </c>
    </row>
    <row r="144" spans="1:10" ht="27" x14ac:dyDescent="0.15">
      <c r="A144" s="1" t="s">
        <v>1820</v>
      </c>
      <c r="B144" s="2" t="s">
        <v>1821</v>
      </c>
      <c r="C144">
        <f>LEN(B144)</f>
        <v>113</v>
      </c>
      <c r="D144" t="s">
        <v>1817</v>
      </c>
      <c r="E144" t="s">
        <v>1629</v>
      </c>
      <c r="F144">
        <v>1</v>
      </c>
      <c r="G144" t="str">
        <f t="shared" si="8"/>
        <v>J_H3_1</v>
      </c>
      <c r="H144">
        <v>20240225</v>
      </c>
      <c r="I144" t="s">
        <v>1007</v>
      </c>
    </row>
    <row r="145" spans="1:10" ht="54" x14ac:dyDescent="0.15">
      <c r="A145" s="1" t="s">
        <v>599</v>
      </c>
      <c r="B145" s="2" t="s">
        <v>1837</v>
      </c>
      <c r="C145">
        <f t="shared" si="7"/>
        <v>236</v>
      </c>
      <c r="D145" t="s">
        <v>1111</v>
      </c>
      <c r="E145" t="str" cm="1">
        <f t="array" ref="E145">_xlfn.IFS(IFERROR(FIND("M-3SII",B145),-1)&gt;0,"J_M3S2",IFERROR(FIND("M-V",B145),-1)&gt;0,"J_M5",IFERROR(FIND("M-4S",B145),-1)&gt;0,"J_M4S",IFERROR(FIND("M-3C",B145),-1)&gt;0,"J_M3C",IFERROR(FIND("M-3S",B145),-1)&gt;0,"J_M3S",IFERROR(FIND("M-3H",B145),-1)&gt;0,"J_M3H",IFERROR(FIND("H-IIA",B145),-1)&gt;0,"J_H2A",IFERROR(FIND("H-IIB",B145),-1)&gt;0,"J_H2B",IFERROR(FIND("H-II",B145),-1)&gt;0,"J_H2",IFERROR(FIND("H-I",B145),-1)&gt;0,"J_H1",IFERROR(FIND("N-II",B145),-1)&gt;0,"J_N2",IFERROR(FIND("N-I",B145),-1)&gt;0,"J_N1",IFERROR(FIND("イプシロン",B145),-1)&gt;0,"J_E",TRUE,"")</f>
        <v/>
      </c>
      <c r="G145" t="str">
        <f t="shared" si="8"/>
        <v/>
      </c>
      <c r="H145">
        <v>20240308</v>
      </c>
      <c r="I145" t="s">
        <v>1018</v>
      </c>
      <c r="J145" t="s">
        <v>1838</v>
      </c>
    </row>
    <row r="146" spans="1:10" ht="27" x14ac:dyDescent="0.15">
      <c r="A146" s="1" t="s">
        <v>600</v>
      </c>
      <c r="B146" s="2" t="s">
        <v>998</v>
      </c>
      <c r="C146">
        <f t="shared" si="7"/>
        <v>105</v>
      </c>
      <c r="D146" t="s">
        <v>1112</v>
      </c>
      <c r="E146" t="str" cm="1">
        <f t="array" ref="E146">_xlfn.IFS(IFERROR(FIND("M-3SII",B146),-1)&gt;0,"J_M3S2",IFERROR(FIND("M-V",B146),-1)&gt;0,"J_M5",IFERROR(FIND("M-4S",B146),-1)&gt;0,"J_M4S",IFERROR(FIND("M-3C",B146),-1)&gt;0,"J_M3C",IFERROR(FIND("M-3S",B146),-1)&gt;0,"J_M3S",IFERROR(FIND("M-3H",B146),-1)&gt;0,"J_M3H",IFERROR(FIND("H-IIA",B146),-1)&gt;0,"J_H2A",IFERROR(FIND("H-IIB",B146),-1)&gt;0,"J_H2B",IFERROR(FIND("H-II",B146),-1)&gt;0,"J_H2",IFERROR(FIND("H-I",B146),-1)&gt;0,"J_H1",IFERROR(FIND("N-II",B146),-1)&gt;0,"J_N2",IFERROR(FIND("N-I",B146),-1)&gt;0,"J_N1",IFERROR(FIND("イプシロン",B146),-1)&gt;0,"J_E",TRUE,"")</f>
        <v/>
      </c>
      <c r="G146" t="str">
        <f t="shared" si="8"/>
        <v/>
      </c>
      <c r="H146">
        <v>20170515</v>
      </c>
      <c r="I146" t="s">
        <v>1004</v>
      </c>
    </row>
    <row r="147" spans="1:10" ht="40.5" x14ac:dyDescent="0.15">
      <c r="A147" s="1" t="s">
        <v>601</v>
      </c>
      <c r="B147" s="2" t="s">
        <v>118</v>
      </c>
      <c r="C147">
        <f t="shared" si="7"/>
        <v>136</v>
      </c>
      <c r="D147" t="s">
        <v>1578</v>
      </c>
      <c r="E147" t="str" cm="1">
        <f t="array" ref="E147">_xlfn.IFS(IFERROR(FIND("M-3SII",B147),-1)&gt;0,"J_M3S2",IFERROR(FIND("M-V",B147),-1)&gt;0,"J_M5",IFERROR(FIND("M-4S",B147),-1)&gt;0,"J_M4S",IFERROR(FIND("M-3C",B147),-1)&gt;0,"J_M3C",IFERROR(FIND("M-3S",B147),-1)&gt;0,"J_M3S",IFERROR(FIND("M-3H",B147),-1)&gt;0,"J_M3H",IFERROR(FIND("H-IIA",B147),-1)&gt;0,"J_H2A",IFERROR(FIND("H-IIB",B147),-1)&gt;0,"J_H2B",IFERROR(FIND("H-II",B147),-1)&gt;0,"J_H2",IFERROR(FIND("H-I",B147),-1)&gt;0,"J_H1",IFERROR(FIND("N-II",B147),-1)&gt;0,"J_N2",IFERROR(FIND("N-I",B147),-1)&gt;0,"J_N1",IFERROR(FIND("イプシロン",B147),-1)&gt;0,"J_E",TRUE,"")</f>
        <v/>
      </c>
      <c r="G147" t="str">
        <f t="shared" si="8"/>
        <v/>
      </c>
    </row>
    <row r="148" spans="1:10" ht="27" x14ac:dyDescent="0.15">
      <c r="A148" s="1" t="s">
        <v>602</v>
      </c>
      <c r="B148" s="2" t="s">
        <v>119</v>
      </c>
      <c r="C148">
        <f t="shared" si="7"/>
        <v>107</v>
      </c>
      <c r="D148" t="s">
        <v>1113</v>
      </c>
      <c r="E148" t="str" cm="1">
        <f t="array" ref="E148">_xlfn.IFS(IFERROR(FIND("M-3SII",B148),-1)&gt;0,"J_M3S2",IFERROR(FIND("M-V",B148),-1)&gt;0,"J_M5",IFERROR(FIND("M-4S",B148),-1)&gt;0,"J_M4S",IFERROR(FIND("M-3C",B148),-1)&gt;0,"J_M3C",IFERROR(FIND("M-3S",B148),-1)&gt;0,"J_M3S",IFERROR(FIND("M-3H",B148),-1)&gt;0,"J_M3H",IFERROR(FIND("H-IIA",B148),-1)&gt;0,"J_H2A",IFERROR(FIND("H-IIB",B148),-1)&gt;0,"J_H2B",IFERROR(FIND("H-II",B148),-1)&gt;0,"J_H2",IFERROR(FIND("H-I",B148),-1)&gt;0,"J_H1",IFERROR(FIND("N-II",B148),-1)&gt;0,"J_N2",IFERROR(FIND("N-I",B148),-1)&gt;0,"J_N1",IFERROR(FIND("イプシロン",B148),-1)&gt;0,"J_E",TRUE,"")</f>
        <v/>
      </c>
      <c r="G148" t="str">
        <f t="shared" si="8"/>
        <v/>
      </c>
    </row>
    <row r="149" spans="1:10" ht="27" x14ac:dyDescent="0.15">
      <c r="A149" s="1" t="s">
        <v>603</v>
      </c>
      <c r="B149" s="2" t="s">
        <v>120</v>
      </c>
      <c r="C149">
        <f t="shared" si="7"/>
        <v>114</v>
      </c>
      <c r="D149" t="s">
        <v>1114</v>
      </c>
      <c r="E149" t="str" cm="1">
        <f t="array" ref="E149">_xlfn.IFS(IFERROR(FIND("M-3SII",B149),-1)&gt;0,"J_M3S2",IFERROR(FIND("M-V",B149),-1)&gt;0,"J_M5",IFERROR(FIND("M-4S",B149),-1)&gt;0,"J_M4S",IFERROR(FIND("M-3C",B149),-1)&gt;0,"J_M3C",IFERROR(FIND("M-3S",B149),-1)&gt;0,"J_M3S",IFERROR(FIND("M-3H",B149),-1)&gt;0,"J_M3H",IFERROR(FIND("H-IIA",B149),-1)&gt;0,"J_H2A",IFERROR(FIND("H-IIB",B149),-1)&gt;0,"J_H2B",IFERROR(FIND("H-II",B149),-1)&gt;0,"J_H2",IFERROR(FIND("H-I",B149),-1)&gt;0,"J_H1",IFERROR(FIND("N-II",B149),-1)&gt;0,"J_N2",IFERROR(FIND("N-I",B149),-1)&gt;0,"J_N1",IFERROR(FIND("イプシロン",B149),-1)&gt;0,"J_E",TRUE,"")</f>
        <v/>
      </c>
      <c r="G149" t="str">
        <f t="shared" si="8"/>
        <v/>
      </c>
    </row>
    <row r="150" spans="1:10" ht="27" x14ac:dyDescent="0.15">
      <c r="A150" s="1" t="s">
        <v>604</v>
      </c>
      <c r="B150" s="2" t="s">
        <v>121</v>
      </c>
      <c r="C150">
        <f t="shared" si="7"/>
        <v>76</v>
      </c>
      <c r="D150" t="s">
        <v>1478</v>
      </c>
      <c r="E150" t="str" cm="1">
        <f t="array" ref="E150">_xlfn.IFS(IFERROR(FIND("M-3SII",B150),-1)&gt;0,"J_M3S2",IFERROR(FIND("M-V",B150),-1)&gt;0,"J_M5",IFERROR(FIND("M-4S",B150),-1)&gt;0,"J_M4S",IFERROR(FIND("M-3C",B150),-1)&gt;0,"J_M3C",IFERROR(FIND("M-3S",B150),-1)&gt;0,"J_M3S",IFERROR(FIND("M-3H",B150),-1)&gt;0,"J_M3H",IFERROR(FIND("H-IIA",B150),-1)&gt;0,"J_H2A",IFERROR(FIND("H-IIB",B150),-1)&gt;0,"J_H2B",IFERROR(FIND("H-II",B150),-1)&gt;0,"J_H2",IFERROR(FIND("H-I",B150),-1)&gt;0,"J_H1",IFERROR(FIND("N-II",B150),-1)&gt;0,"J_N2",IFERROR(FIND("N-I",B150),-1)&gt;0,"J_N1",IFERROR(FIND("イプシロン",B150),-1)&gt;0,"J_E",TRUE,"")</f>
        <v/>
      </c>
      <c r="G150" t="str">
        <f t="shared" si="8"/>
        <v/>
      </c>
    </row>
    <row r="151" spans="1:10" ht="27" x14ac:dyDescent="0.15">
      <c r="A151" s="1" t="s">
        <v>605</v>
      </c>
      <c r="B151" s="2" t="s">
        <v>122</v>
      </c>
      <c r="C151">
        <f t="shared" si="7"/>
        <v>70</v>
      </c>
      <c r="D151" t="s">
        <v>1115</v>
      </c>
      <c r="E151" t="str" cm="1">
        <f t="array" ref="E151">_xlfn.IFS(IFERROR(FIND("M-3SII",B151),-1)&gt;0,"J_M3S2",IFERROR(FIND("M-V",B151),-1)&gt;0,"J_M5",IFERROR(FIND("M-4S",B151),-1)&gt;0,"J_M4S",IFERROR(FIND("M-3C",B151),-1)&gt;0,"J_M3C",IFERROR(FIND("M-3S",B151),-1)&gt;0,"J_M3S",IFERROR(FIND("M-3H",B151),-1)&gt;0,"J_M3H",IFERROR(FIND("H-IIA",B151),-1)&gt;0,"J_H2A",IFERROR(FIND("H-IIB",B151),-1)&gt;0,"J_H2B",IFERROR(FIND("H-II",B151),-1)&gt;0,"J_H2",IFERROR(FIND("H-I",B151),-1)&gt;0,"J_H1",IFERROR(FIND("N-II",B151),-1)&gt;0,"J_N2",IFERROR(FIND("N-I",B151),-1)&gt;0,"J_N1",IFERROR(FIND("イプシロン",B151),-1)&gt;0,"J_E",TRUE,"")</f>
        <v/>
      </c>
      <c r="G151" t="str">
        <f t="shared" si="8"/>
        <v/>
      </c>
    </row>
    <row r="152" spans="1:10" ht="27" x14ac:dyDescent="0.15">
      <c r="A152" s="1" t="s">
        <v>606</v>
      </c>
      <c r="B152" s="2" t="s">
        <v>123</v>
      </c>
      <c r="C152">
        <f t="shared" si="7"/>
        <v>93</v>
      </c>
      <c r="D152" t="s">
        <v>1116</v>
      </c>
      <c r="E152" t="str" cm="1">
        <f t="array" ref="E152">_xlfn.IFS(IFERROR(FIND("M-3SII",B152),-1)&gt;0,"J_M3S2",IFERROR(FIND("M-V",B152),-1)&gt;0,"J_M5",IFERROR(FIND("M-4S",B152),-1)&gt;0,"J_M4S",IFERROR(FIND("M-3C",B152),-1)&gt;0,"J_M3C",IFERROR(FIND("M-3S",B152),-1)&gt;0,"J_M3S",IFERROR(FIND("M-3H",B152),-1)&gt;0,"J_M3H",IFERROR(FIND("H-IIA",B152),-1)&gt;0,"J_H2A",IFERROR(FIND("H-IIB",B152),-1)&gt;0,"J_H2B",IFERROR(FIND("H-II",B152),-1)&gt;0,"J_H2",IFERROR(FIND("H-I",B152),-1)&gt;0,"J_H1",IFERROR(FIND("N-II",B152),-1)&gt;0,"J_N2",IFERROR(FIND("N-I",B152),-1)&gt;0,"J_N1",IFERROR(FIND("イプシロン",B152),-1)&gt;0,"J_E",TRUE,"")</f>
        <v/>
      </c>
      <c r="G152" t="str">
        <f t="shared" si="8"/>
        <v/>
      </c>
    </row>
    <row r="153" spans="1:10" ht="27" x14ac:dyDescent="0.15">
      <c r="A153" s="1" t="s">
        <v>607</v>
      </c>
      <c r="B153" s="2" t="s">
        <v>124</v>
      </c>
      <c r="C153">
        <f t="shared" si="7"/>
        <v>106</v>
      </c>
      <c r="D153" t="s">
        <v>1117</v>
      </c>
      <c r="E153" t="str" cm="1">
        <f t="array" ref="E153">_xlfn.IFS(IFERROR(FIND("M-3SII",B153),-1)&gt;0,"J_M3S2",IFERROR(FIND("M-V",B153),-1)&gt;0,"J_M5",IFERROR(FIND("M-4S",B153),-1)&gt;0,"J_M4S",IFERROR(FIND("M-3C",B153),-1)&gt;0,"J_M3C",IFERROR(FIND("M-3S",B153),-1)&gt;0,"J_M3S",IFERROR(FIND("M-3H",B153),-1)&gt;0,"J_M3H",IFERROR(FIND("H-IIA",B153),-1)&gt;0,"J_H2A",IFERROR(FIND("H-IIB",B153),-1)&gt;0,"J_H2B",IFERROR(FIND("H-II",B153),-1)&gt;0,"J_H2",IFERROR(FIND("H-I",B153),-1)&gt;0,"J_H1",IFERROR(FIND("N-II",B153),-1)&gt;0,"J_N2",IFERROR(FIND("N-I",B153),-1)&gt;0,"J_N1",IFERROR(FIND("イプシロン",B153),-1)&gt;0,"J_E",TRUE,"")</f>
        <v/>
      </c>
      <c r="G153" t="str">
        <f t="shared" si="8"/>
        <v/>
      </c>
    </row>
    <row r="154" spans="1:10" x14ac:dyDescent="0.15">
      <c r="A154" s="1" t="s">
        <v>608</v>
      </c>
      <c r="B154" s="2" t="s">
        <v>125</v>
      </c>
      <c r="C154">
        <f t="shared" si="7"/>
        <v>56</v>
      </c>
      <c r="D154" t="s">
        <v>1118</v>
      </c>
      <c r="E154" t="str" cm="1">
        <f t="array" ref="E154">_xlfn.IFS(IFERROR(FIND("M-3SII",B154),-1)&gt;0,"J_M3S2",IFERROR(FIND("M-V",B154),-1)&gt;0,"J_M5",IFERROR(FIND("M-4S",B154),-1)&gt;0,"J_M4S",IFERROR(FIND("M-3C",B154),-1)&gt;0,"J_M3C",IFERROR(FIND("M-3S",B154),-1)&gt;0,"J_M3S",IFERROR(FIND("M-3H",B154),-1)&gt;0,"J_M3H",IFERROR(FIND("H-IIA",B154),-1)&gt;0,"J_H2A",IFERROR(FIND("H-IIB",B154),-1)&gt;0,"J_H2B",IFERROR(FIND("H-II",B154),-1)&gt;0,"J_H2",IFERROR(FIND("H-I",B154),-1)&gt;0,"J_H1",IFERROR(FIND("N-II",B154),-1)&gt;0,"J_N2",IFERROR(FIND("N-I",B154),-1)&gt;0,"J_N1",IFERROR(FIND("イプシロン",B154),-1)&gt;0,"J_E",TRUE,"")</f>
        <v/>
      </c>
      <c r="G154" t="str">
        <f t="shared" si="8"/>
        <v/>
      </c>
    </row>
    <row r="155" spans="1:10" ht="40.5" x14ac:dyDescent="0.15">
      <c r="A155" s="1" t="s">
        <v>609</v>
      </c>
      <c r="B155" s="2" t="s">
        <v>126</v>
      </c>
      <c r="C155">
        <f t="shared" si="7"/>
        <v>139</v>
      </c>
      <c r="D155" t="s">
        <v>1119</v>
      </c>
      <c r="E155" t="str" cm="1">
        <f t="array" ref="E155">_xlfn.IFS(IFERROR(FIND("M-3SII",B155),-1)&gt;0,"J_M3S2",IFERROR(FIND("M-V",B155),-1)&gt;0,"J_M5",IFERROR(FIND("M-4S",B155),-1)&gt;0,"J_M4S",IFERROR(FIND("M-3C",B155),-1)&gt;0,"J_M3C",IFERROR(FIND("M-3S",B155),-1)&gt;0,"J_M3S",IFERROR(FIND("M-3H",B155),-1)&gt;0,"J_M3H",IFERROR(FIND("H-IIA",B155),-1)&gt;0,"J_H2A",IFERROR(FIND("H-IIB",B155),-1)&gt;0,"J_H2B",IFERROR(FIND("H-II",B155),-1)&gt;0,"J_H2",IFERROR(FIND("H-I",B155),-1)&gt;0,"J_H1",IFERROR(FIND("N-II",B155),-1)&gt;0,"J_N2",IFERROR(FIND("N-I",B155),-1)&gt;0,"J_N1",IFERROR(FIND("イプシロン",B155),-1)&gt;0,"J_E",TRUE,"")</f>
        <v/>
      </c>
      <c r="G155" t="str">
        <f t="shared" si="8"/>
        <v/>
      </c>
    </row>
    <row r="156" spans="1:10" ht="27" x14ac:dyDescent="0.15">
      <c r="A156" s="1" t="s">
        <v>610</v>
      </c>
      <c r="B156" s="2" t="s">
        <v>127</v>
      </c>
      <c r="C156">
        <f t="shared" si="7"/>
        <v>84</v>
      </c>
      <c r="D156" t="s">
        <v>1120</v>
      </c>
      <c r="E156" t="str" cm="1">
        <f t="array" ref="E156">_xlfn.IFS(IFERROR(FIND("M-3SII",B156),-1)&gt;0,"J_M3S2",IFERROR(FIND("M-V",B156),-1)&gt;0,"J_M5",IFERROR(FIND("M-4S",B156),-1)&gt;0,"J_M4S",IFERROR(FIND("M-3C",B156),-1)&gt;0,"J_M3C",IFERROR(FIND("M-3S",B156),-1)&gt;0,"J_M3S",IFERROR(FIND("M-3H",B156),-1)&gt;0,"J_M3H",IFERROR(FIND("H-IIA",B156),-1)&gt;0,"J_H2A",IFERROR(FIND("H-IIB",B156),-1)&gt;0,"J_H2B",IFERROR(FIND("H-II",B156),-1)&gt;0,"J_H2",IFERROR(FIND("H-I",B156),-1)&gt;0,"J_H1",IFERROR(FIND("N-II",B156),-1)&gt;0,"J_N2",IFERROR(FIND("N-I",B156),-1)&gt;0,"J_N1",IFERROR(FIND("イプシロン",B156),-1)&gt;0,"J_E",TRUE,"")</f>
        <v/>
      </c>
      <c r="G156" t="str">
        <f t="shared" si="8"/>
        <v/>
      </c>
    </row>
    <row r="157" spans="1:10" ht="40.5" x14ac:dyDescent="0.15">
      <c r="A157" s="1" t="s">
        <v>611</v>
      </c>
      <c r="B157" s="2" t="s">
        <v>128</v>
      </c>
      <c r="C157">
        <f t="shared" si="7"/>
        <v>139</v>
      </c>
      <c r="D157" t="s">
        <v>1121</v>
      </c>
      <c r="E157" t="str" cm="1">
        <f t="array" ref="E157">_xlfn.IFS(IFERROR(FIND("M-3SII",B157),-1)&gt;0,"J_M3S2",IFERROR(FIND("M-V",B157),-1)&gt;0,"J_M5",IFERROR(FIND("M-4S",B157),-1)&gt;0,"J_M4S",IFERROR(FIND("M-3C",B157),-1)&gt;0,"J_M3C",IFERROR(FIND("M-3S",B157),-1)&gt;0,"J_M3S",IFERROR(FIND("M-3H",B157),-1)&gt;0,"J_M3H",IFERROR(FIND("H-IIA",B157),-1)&gt;0,"J_H2A",IFERROR(FIND("H-IIB",B157),-1)&gt;0,"J_H2B",IFERROR(FIND("H-II",B157),-1)&gt;0,"J_H2",IFERROR(FIND("H-I",B157),-1)&gt;0,"J_H1",IFERROR(FIND("N-II",B157),-1)&gt;0,"J_N2",IFERROR(FIND("N-I",B157),-1)&gt;0,"J_N1",IFERROR(FIND("イプシロン",B157),-1)&gt;0,"J_E",TRUE,"")</f>
        <v>J_H2</v>
      </c>
      <c r="F157">
        <v>3</v>
      </c>
      <c r="G157" t="str">
        <f t="shared" si="8"/>
        <v>J_H2_3</v>
      </c>
    </row>
    <row r="158" spans="1:10" ht="27" x14ac:dyDescent="0.15">
      <c r="A158" s="1" t="s">
        <v>612</v>
      </c>
      <c r="B158" s="2" t="s">
        <v>129</v>
      </c>
      <c r="C158">
        <f t="shared" si="7"/>
        <v>111</v>
      </c>
      <c r="D158" t="s">
        <v>1479</v>
      </c>
      <c r="E158" t="str" cm="1">
        <f t="array" ref="E158">_xlfn.IFS(IFERROR(FIND("M-3SII",B158),-1)&gt;0,"J_M3S2",IFERROR(FIND("M-V",B158),-1)&gt;0,"J_M5",IFERROR(FIND("M-4S",B158),-1)&gt;0,"J_M4S",IFERROR(FIND("M-3C",B158),-1)&gt;0,"J_M3C",IFERROR(FIND("M-3S",B158),-1)&gt;0,"J_M3S",IFERROR(FIND("M-3H",B158),-1)&gt;0,"J_M3H",IFERROR(FIND("H-IIA",B158),-1)&gt;0,"J_H2A",IFERROR(FIND("H-IIB",B158),-1)&gt;0,"J_H2B",IFERROR(FIND("H-II",B158),-1)&gt;0,"J_H2",IFERROR(FIND("H-I",B158),-1)&gt;0,"J_H1",IFERROR(FIND("N-II",B158),-1)&gt;0,"J_N2",IFERROR(FIND("N-I",B158),-1)&gt;0,"J_N1",IFERROR(FIND("イプシロン",B158),-1)&gt;0,"J_E",TRUE,"")</f>
        <v>J_H2</v>
      </c>
      <c r="F158">
        <v>3</v>
      </c>
      <c r="G158" t="str">
        <f t="shared" si="8"/>
        <v>J_H2_3</v>
      </c>
    </row>
    <row r="159" spans="1:10" ht="27" x14ac:dyDescent="0.15">
      <c r="A159" s="1" t="s">
        <v>613</v>
      </c>
      <c r="B159" s="2" t="s">
        <v>130</v>
      </c>
      <c r="C159">
        <f t="shared" si="7"/>
        <v>124</v>
      </c>
      <c r="D159" t="s">
        <v>1122</v>
      </c>
      <c r="E159" t="str" cm="1">
        <f t="array" ref="E159">_xlfn.IFS(IFERROR(FIND("M-3SII",B159),-1)&gt;0,"J_M3S2",IFERROR(FIND("M-V",B159),-1)&gt;0,"J_M5",IFERROR(FIND("M-4S",B159),-1)&gt;0,"J_M4S",IFERROR(FIND("M-3C",B159),-1)&gt;0,"J_M3C",IFERROR(FIND("M-3S",B159),-1)&gt;0,"J_M3S",IFERROR(FIND("M-3H",B159),-1)&gt;0,"J_M3H",IFERROR(FIND("H-IIA",B159),-1)&gt;0,"J_H2A",IFERROR(FIND("H-IIB",B159),-1)&gt;0,"J_H2B",IFERROR(FIND("H-II",B159),-1)&gt;0,"J_H2",IFERROR(FIND("H-I",B159),-1)&gt;0,"J_H1",IFERROR(FIND("N-II",B159),-1)&gt;0,"J_N2",IFERROR(FIND("N-I",B159),-1)&gt;0,"J_N1",IFERROR(FIND("イプシロン",B159),-1)&gt;0,"J_E",TRUE,"")</f>
        <v/>
      </c>
      <c r="G159" t="str">
        <f t="shared" si="8"/>
        <v/>
      </c>
    </row>
    <row r="160" spans="1:10" ht="27" x14ac:dyDescent="0.15">
      <c r="A160" s="1" t="s">
        <v>614</v>
      </c>
      <c r="B160" s="2" t="s">
        <v>131</v>
      </c>
      <c r="C160">
        <f t="shared" si="7"/>
        <v>110</v>
      </c>
      <c r="D160" t="s">
        <v>1123</v>
      </c>
      <c r="E160" t="str" cm="1">
        <f t="array" ref="E160">_xlfn.IFS(IFERROR(FIND("M-3SII",B160),-1)&gt;0,"J_M3S2",IFERROR(FIND("M-V",B160),-1)&gt;0,"J_M5",IFERROR(FIND("M-4S",B160),-1)&gt;0,"J_M4S",IFERROR(FIND("M-3C",B160),-1)&gt;0,"J_M3C",IFERROR(FIND("M-3S",B160),-1)&gt;0,"J_M3S",IFERROR(FIND("M-3H",B160),-1)&gt;0,"J_M3H",IFERROR(FIND("H-IIA",B160),-1)&gt;0,"J_H2A",IFERROR(FIND("H-IIB",B160),-1)&gt;0,"J_H2B",IFERROR(FIND("H-II",B160),-1)&gt;0,"J_H2",IFERROR(FIND("H-I",B160),-1)&gt;0,"J_H1",IFERROR(FIND("N-II",B160),-1)&gt;0,"J_N2",IFERROR(FIND("N-I",B160),-1)&gt;0,"J_N1",IFERROR(FIND("イプシロン",B160),-1)&gt;0,"J_E",TRUE,"")</f>
        <v/>
      </c>
      <c r="G160" t="str">
        <f t="shared" si="8"/>
        <v/>
      </c>
    </row>
    <row r="161" spans="1:9" ht="27" x14ac:dyDescent="0.15">
      <c r="A161" s="1" t="s">
        <v>615</v>
      </c>
      <c r="B161" s="2" t="s">
        <v>997</v>
      </c>
      <c r="C161">
        <f t="shared" si="7"/>
        <v>119</v>
      </c>
      <c r="D161" t="s">
        <v>1124</v>
      </c>
      <c r="E161" t="str" cm="1">
        <f t="array" ref="E161">_xlfn.IFS(IFERROR(FIND("M-3SII",B161),-1)&gt;0,"J_M3S2",IFERROR(FIND("M-V",B161),-1)&gt;0,"J_M5",IFERROR(FIND("M-4S",B161),-1)&gt;0,"J_M4S",IFERROR(FIND("M-3C",B161),-1)&gt;0,"J_M3C",IFERROR(FIND("M-3S",B161),-1)&gt;0,"J_M3S",IFERROR(FIND("M-3H",B161),-1)&gt;0,"J_M3H",IFERROR(FIND("H-IIA",B161),-1)&gt;0,"J_H2A",IFERROR(FIND("H-IIB",B161),-1)&gt;0,"J_H2B",IFERROR(FIND("H-II",B161),-1)&gt;0,"J_H2",IFERROR(FIND("H-I",B161),-1)&gt;0,"J_H1",IFERROR(FIND("N-II",B161),-1)&gt;0,"J_N2",IFERROR(FIND("N-I",B161),-1)&gt;0,"J_N1",IFERROR(FIND("イプシロン",B161),-1)&gt;0,"J_E",TRUE,"")</f>
        <v/>
      </c>
      <c r="G161" t="str">
        <f t="shared" si="8"/>
        <v/>
      </c>
    </row>
    <row r="162" spans="1:9" ht="27" x14ac:dyDescent="0.15">
      <c r="A162" s="1" t="s">
        <v>616</v>
      </c>
      <c r="B162" s="2" t="s">
        <v>132</v>
      </c>
      <c r="C162">
        <f t="shared" si="7"/>
        <v>138</v>
      </c>
      <c r="D162" t="s">
        <v>1125</v>
      </c>
      <c r="E162" t="str" cm="1">
        <f t="array" ref="E162">_xlfn.IFS(IFERROR(FIND("M-3SII",B162),-1)&gt;0,"J_M3S2",IFERROR(FIND("M-V",B162),-1)&gt;0,"J_M5",IFERROR(FIND("M-4S",B162),-1)&gt;0,"J_M4S",IFERROR(FIND("M-3C",B162),-1)&gt;0,"J_M3C",IFERROR(FIND("M-3S",B162),-1)&gt;0,"J_M3S",IFERROR(FIND("M-3H",B162),-1)&gt;0,"J_M3H",IFERROR(FIND("H-IIA",B162),-1)&gt;0,"J_H2A",IFERROR(FIND("H-IIB",B162),-1)&gt;0,"J_H2B",IFERROR(FIND("H-II",B162),-1)&gt;0,"J_H2",IFERROR(FIND("H-I",B162),-1)&gt;0,"J_H1",IFERROR(FIND("N-II",B162),-1)&gt;0,"J_N2",IFERROR(FIND("N-I",B162),-1)&gt;0,"J_N1",IFERROR(FIND("イプシロン",B162),-1)&gt;0,"J_E",TRUE,"")</f>
        <v/>
      </c>
      <c r="G162" t="str">
        <f t="shared" si="8"/>
        <v/>
      </c>
    </row>
    <row r="163" spans="1:9" ht="27" x14ac:dyDescent="0.15">
      <c r="A163" s="1" t="s">
        <v>617</v>
      </c>
      <c r="B163" s="2" t="s">
        <v>133</v>
      </c>
      <c r="C163">
        <f t="shared" si="7"/>
        <v>109</v>
      </c>
      <c r="D163" t="s">
        <v>1126</v>
      </c>
      <c r="E163" t="str" cm="1">
        <f t="array" ref="E163">_xlfn.IFS(IFERROR(FIND("M-3SII",B163),-1)&gt;0,"J_M3S2",IFERROR(FIND("M-V",B163),-1)&gt;0,"J_M5",IFERROR(FIND("M-4S",B163),-1)&gt;0,"J_M4S",IFERROR(FIND("M-3C",B163),-1)&gt;0,"J_M3C",IFERROR(FIND("M-3S",B163),-1)&gt;0,"J_M3S",IFERROR(FIND("M-3H",B163),-1)&gt;0,"J_M3H",IFERROR(FIND("H-IIA",B163),-1)&gt;0,"J_H2A",IFERROR(FIND("H-IIB",B163),-1)&gt;0,"J_H2B",IFERROR(FIND("H-II",B163),-1)&gt;0,"J_H2",IFERROR(FIND("H-I",B163),-1)&gt;0,"J_H1",IFERROR(FIND("N-II",B163),-1)&gt;0,"J_N2",IFERROR(FIND("N-I",B163),-1)&gt;0,"J_N1",IFERROR(FIND("イプシロン",B163),-1)&gt;0,"J_E",TRUE,"")</f>
        <v/>
      </c>
      <c r="G163" t="str">
        <f t="shared" si="8"/>
        <v/>
      </c>
    </row>
    <row r="164" spans="1:9" ht="27" x14ac:dyDescent="0.15">
      <c r="A164" s="1" t="s">
        <v>618</v>
      </c>
      <c r="B164" s="2" t="s">
        <v>134</v>
      </c>
      <c r="C164">
        <f t="shared" si="7"/>
        <v>98</v>
      </c>
      <c r="D164" t="s">
        <v>1127</v>
      </c>
      <c r="E164" t="str" cm="1">
        <f t="array" ref="E164">_xlfn.IFS(IFERROR(FIND("M-3SII",B164),-1)&gt;0,"J_M3S2",IFERROR(FIND("M-V",B164),-1)&gt;0,"J_M5",IFERROR(FIND("M-4S",B164),-1)&gt;0,"J_M4S",IFERROR(FIND("M-3C",B164),-1)&gt;0,"J_M3C",IFERROR(FIND("M-3S",B164),-1)&gt;0,"J_M3S",IFERROR(FIND("M-3H",B164),-1)&gt;0,"J_M3H",IFERROR(FIND("H-IIA",B164),-1)&gt;0,"J_H2A",IFERROR(FIND("H-IIB",B164),-1)&gt;0,"J_H2B",IFERROR(FIND("H-II",B164),-1)&gt;0,"J_H2",IFERROR(FIND("H-I",B164),-1)&gt;0,"J_H1",IFERROR(FIND("N-II",B164),-1)&gt;0,"J_N2",IFERROR(FIND("N-I",B164),-1)&gt;0,"J_N1",IFERROR(FIND("イプシロン",B164),-1)&gt;0,"J_E",TRUE,"")</f>
        <v/>
      </c>
      <c r="G164" t="str">
        <f t="shared" si="8"/>
        <v/>
      </c>
    </row>
    <row r="165" spans="1:9" ht="27" x14ac:dyDescent="0.15">
      <c r="A165" s="1" t="s">
        <v>619</v>
      </c>
      <c r="B165" s="2" t="s">
        <v>135</v>
      </c>
      <c r="C165">
        <f t="shared" si="7"/>
        <v>94</v>
      </c>
      <c r="D165" t="s">
        <v>1128</v>
      </c>
      <c r="E165" t="str" cm="1">
        <f t="array" ref="E165">_xlfn.IFS(IFERROR(FIND("M-3SII",B165),-1)&gt;0,"J_M3S2",IFERROR(FIND("M-V",B165),-1)&gt;0,"J_M5",IFERROR(FIND("M-4S",B165),-1)&gt;0,"J_M4S",IFERROR(FIND("M-3C",B165),-1)&gt;0,"J_M3C",IFERROR(FIND("M-3S",B165),-1)&gt;0,"J_M3S",IFERROR(FIND("M-3H",B165),-1)&gt;0,"J_M3H",IFERROR(FIND("H-IIA",B165),-1)&gt;0,"J_H2A",IFERROR(FIND("H-IIB",B165),-1)&gt;0,"J_H2B",IFERROR(FIND("H-II",B165),-1)&gt;0,"J_H2",IFERROR(FIND("H-I",B165),-1)&gt;0,"J_H1",IFERROR(FIND("N-II",B165),-1)&gt;0,"J_N2",IFERROR(FIND("N-I",B165),-1)&gt;0,"J_N1",IFERROR(FIND("イプシロン",B165),-1)&gt;0,"J_E",TRUE,"")</f>
        <v/>
      </c>
      <c r="G165" t="str">
        <f t="shared" si="8"/>
        <v/>
      </c>
    </row>
    <row r="166" spans="1:9" ht="27" x14ac:dyDescent="0.15">
      <c r="A166" s="1" t="s">
        <v>620</v>
      </c>
      <c r="B166" s="2" t="s">
        <v>136</v>
      </c>
      <c r="C166">
        <f t="shared" si="7"/>
        <v>111</v>
      </c>
      <c r="D166" t="s">
        <v>1129</v>
      </c>
      <c r="E166" t="str" cm="1">
        <f t="array" ref="E166">_xlfn.IFS(IFERROR(FIND("M-3SII",B166),-1)&gt;0,"J_M3S2",IFERROR(FIND("M-V",B166),-1)&gt;0,"J_M5",IFERROR(FIND("M-4S",B166),-1)&gt;0,"J_M4S",IFERROR(FIND("M-3C",B166),-1)&gt;0,"J_M3C",IFERROR(FIND("M-3S",B166),-1)&gt;0,"J_M3S",IFERROR(FIND("M-3H",B166),-1)&gt;0,"J_M3H",IFERROR(FIND("H-IIA",B166),-1)&gt;0,"J_H2A",IFERROR(FIND("H-IIB",B166),-1)&gt;0,"J_H2B",IFERROR(FIND("H-II",B166),-1)&gt;0,"J_H2",IFERROR(FIND("H-I",B166),-1)&gt;0,"J_H1",IFERROR(FIND("N-II",B166),-1)&gt;0,"J_N2",IFERROR(FIND("N-I",B166),-1)&gt;0,"J_N1",IFERROR(FIND("イプシロン",B166),-1)&gt;0,"J_E",TRUE,"")</f>
        <v/>
      </c>
      <c r="G166" t="str">
        <f t="shared" si="8"/>
        <v/>
      </c>
    </row>
    <row r="167" spans="1:9" ht="27" x14ac:dyDescent="0.15">
      <c r="A167" s="1" t="s">
        <v>621</v>
      </c>
      <c r="B167" s="2" t="s">
        <v>137</v>
      </c>
      <c r="C167">
        <f t="shared" si="7"/>
        <v>111</v>
      </c>
      <c r="D167" t="s">
        <v>1130</v>
      </c>
      <c r="E167" t="str" cm="1">
        <f t="array" ref="E167">_xlfn.IFS(IFERROR(FIND("M-3SII",B167),-1)&gt;0,"J_M3S2",IFERROR(FIND("M-V",B167),-1)&gt;0,"J_M5",IFERROR(FIND("M-4S",B167),-1)&gt;0,"J_M4S",IFERROR(FIND("M-3C",B167),-1)&gt;0,"J_M3C",IFERROR(FIND("M-3S",B167),-1)&gt;0,"J_M3S",IFERROR(FIND("M-3H",B167),-1)&gt;0,"J_M3H",IFERROR(FIND("H-IIA",B167),-1)&gt;0,"J_H2A",IFERROR(FIND("H-IIB",B167),-1)&gt;0,"J_H2B",IFERROR(FIND("H-II",B167),-1)&gt;0,"J_H2",IFERROR(FIND("H-I",B167),-1)&gt;0,"J_H1",IFERROR(FIND("N-II",B167),-1)&gt;0,"J_N2",IFERROR(FIND("N-I",B167),-1)&gt;0,"J_N1",IFERROR(FIND("イプシロン",B167),-1)&gt;0,"J_E",TRUE,"")</f>
        <v/>
      </c>
      <c r="G167" t="str">
        <f t="shared" si="8"/>
        <v/>
      </c>
    </row>
    <row r="168" spans="1:9" ht="27" x14ac:dyDescent="0.15">
      <c r="A168" s="1" t="s">
        <v>623</v>
      </c>
      <c r="B168" s="2" t="s">
        <v>990</v>
      </c>
      <c r="C168">
        <f t="shared" si="7"/>
        <v>109</v>
      </c>
      <c r="D168" t="s">
        <v>1131</v>
      </c>
      <c r="E168" t="s">
        <v>1590</v>
      </c>
      <c r="F168">
        <v>5</v>
      </c>
      <c r="G168" t="str">
        <f t="shared" si="8"/>
        <v>J_H2A_5</v>
      </c>
      <c r="H168">
        <v>20170515</v>
      </c>
      <c r="I168" t="s">
        <v>1004</v>
      </c>
    </row>
    <row r="169" spans="1:9" x14ac:dyDescent="0.15">
      <c r="A169" s="1" t="s">
        <v>622</v>
      </c>
      <c r="B169" s="2" t="s">
        <v>138</v>
      </c>
      <c r="C169">
        <f t="shared" si="7"/>
        <v>62</v>
      </c>
      <c r="D169" t="s">
        <v>1480</v>
      </c>
      <c r="E169" t="str" cm="1">
        <f t="array" ref="E169">_xlfn.IFS(IFERROR(FIND("M-3SII",B169),-1)&gt;0,"J_M3S2",IFERROR(FIND("M-V",B169),-1)&gt;0,"J_M5",IFERROR(FIND("M-4S",B169),-1)&gt;0,"J_M4S",IFERROR(FIND("M-3C",B169),-1)&gt;0,"J_M3C",IFERROR(FIND("M-3S",B169),-1)&gt;0,"J_M3S",IFERROR(FIND("M-3H",B169),-1)&gt;0,"J_M3H",IFERROR(FIND("H-IIA",B169),-1)&gt;0,"J_H2A",IFERROR(FIND("H-IIB",B169),-1)&gt;0,"J_H2B",IFERROR(FIND("H-II",B169),-1)&gt;0,"J_H2",IFERROR(FIND("H-I",B169),-1)&gt;0,"J_H1",IFERROR(FIND("N-II",B169),-1)&gt;0,"J_N2",IFERROR(FIND("N-I",B169),-1)&gt;0,"J_N1",IFERROR(FIND("イプシロン",B169),-1)&gt;0,"J_E",TRUE,"")</f>
        <v>J_H2A</v>
      </c>
      <c r="F169">
        <v>5</v>
      </c>
      <c r="G169" t="str">
        <f t="shared" si="8"/>
        <v>J_H2A_5</v>
      </c>
    </row>
    <row r="170" spans="1:9" ht="27" x14ac:dyDescent="0.15">
      <c r="A170" s="1" t="s">
        <v>624</v>
      </c>
      <c r="B170" s="2" t="s">
        <v>139</v>
      </c>
      <c r="C170">
        <f t="shared" si="7"/>
        <v>111</v>
      </c>
      <c r="D170" t="s">
        <v>1132</v>
      </c>
      <c r="E170" t="str" cm="1">
        <f t="array" ref="E170">_xlfn.IFS(IFERROR(FIND("M-3SII",B170),-1)&gt;0,"J_M3S2",IFERROR(FIND("M-V",B170),-1)&gt;0,"J_M5",IFERROR(FIND("M-4S",B170),-1)&gt;0,"J_M4S",IFERROR(FIND("M-3C",B170),-1)&gt;0,"J_M3C",IFERROR(FIND("M-3S",B170),-1)&gt;0,"J_M3S",IFERROR(FIND("M-3H",B170),-1)&gt;0,"J_M3H",IFERROR(FIND("H-IIA",B170),-1)&gt;0,"J_H2A",IFERROR(FIND("H-IIB",B170),-1)&gt;0,"J_H2B",IFERROR(FIND("H-II",B170),-1)&gt;0,"J_H2",IFERROR(FIND("H-I",B170),-1)&gt;0,"J_H1",IFERROR(FIND("N-II",B170),-1)&gt;0,"J_N2",IFERROR(FIND("N-I",B170),-1)&gt;0,"J_N1",IFERROR(FIND("イプシロン",B170),-1)&gt;0,"J_E",TRUE,"")</f>
        <v/>
      </c>
      <c r="G170" t="str">
        <f t="shared" si="8"/>
        <v/>
      </c>
    </row>
    <row r="171" spans="1:9" ht="27" x14ac:dyDescent="0.15">
      <c r="A171" s="1" t="s">
        <v>625</v>
      </c>
      <c r="B171" s="2" t="s">
        <v>1617</v>
      </c>
      <c r="C171">
        <f t="shared" si="7"/>
        <v>112</v>
      </c>
      <c r="D171" t="s">
        <v>1133</v>
      </c>
      <c r="E171" t="str" cm="1">
        <f t="array" ref="E171">_xlfn.IFS(IFERROR(FIND("M-3SII",B171),-1)&gt;0,"J_M3S2",IFERROR(FIND("M-V",B171),-1)&gt;0,"J_M5",IFERROR(FIND("M-4S",B171),-1)&gt;0,"J_M4S",IFERROR(FIND("M-3C",B171),-1)&gt;0,"J_M3C",IFERROR(FIND("M-3S",B171),-1)&gt;0,"J_M3S",IFERROR(FIND("M-3H",B171),-1)&gt;0,"J_M3H",IFERROR(FIND("H-IIA",B171),-1)&gt;0,"J_H2A",IFERROR(FIND("H-IIB",B171),-1)&gt;0,"J_H2B",IFERROR(FIND("H-II",B171),-1)&gt;0,"J_H2",IFERROR(FIND("H-I",B171),-1)&gt;0,"J_H1",IFERROR(FIND("N-II",B171),-1)&gt;0,"J_N2",IFERROR(FIND("N-I",B171),-1)&gt;0,"J_N1",IFERROR(FIND("イプシロン",B171),-1)&gt;0,"J_E",TRUE,"")</f>
        <v/>
      </c>
      <c r="G171" t="str">
        <f t="shared" si="8"/>
        <v/>
      </c>
    </row>
    <row r="172" spans="1:9" ht="27" x14ac:dyDescent="0.15">
      <c r="A172" s="1" t="s">
        <v>626</v>
      </c>
      <c r="B172" s="2" t="s">
        <v>140</v>
      </c>
      <c r="C172">
        <f t="shared" si="7"/>
        <v>98</v>
      </c>
      <c r="D172" t="s">
        <v>1134</v>
      </c>
      <c r="E172" t="str" cm="1">
        <f t="array" ref="E172">_xlfn.IFS(IFERROR(FIND("M-3SII",B172),-1)&gt;0,"J_M3S2",IFERROR(FIND("M-V",B172),-1)&gt;0,"J_M5",IFERROR(FIND("M-4S",B172),-1)&gt;0,"J_M4S",IFERROR(FIND("M-3C",B172),-1)&gt;0,"J_M3C",IFERROR(FIND("M-3S",B172),-1)&gt;0,"J_M3S",IFERROR(FIND("M-3H",B172),-1)&gt;0,"J_M3H",IFERROR(FIND("H-IIA",B172),-1)&gt;0,"J_H2A",IFERROR(FIND("H-IIB",B172),-1)&gt;0,"J_H2B",IFERROR(FIND("H-II",B172),-1)&gt;0,"J_H2",IFERROR(FIND("H-I",B172),-1)&gt;0,"J_H1",IFERROR(FIND("N-II",B172),-1)&gt;0,"J_N2",IFERROR(FIND("N-I",B172),-1)&gt;0,"J_N1",IFERROR(FIND("イプシロン",B172),-1)&gt;0,"J_E",TRUE,"")</f>
        <v/>
      </c>
      <c r="G172" t="str">
        <f t="shared" si="8"/>
        <v/>
      </c>
    </row>
    <row r="173" spans="1:9" ht="27" x14ac:dyDescent="0.15">
      <c r="A173" s="1" t="s">
        <v>627</v>
      </c>
      <c r="B173" s="2" t="s">
        <v>141</v>
      </c>
      <c r="C173">
        <f t="shared" si="7"/>
        <v>106</v>
      </c>
      <c r="D173" t="s">
        <v>1135</v>
      </c>
      <c r="E173" t="str" cm="1">
        <f t="array" ref="E173">_xlfn.IFS(IFERROR(FIND("M-3SII",B173),-1)&gt;0,"J_M3S2",IFERROR(FIND("M-V",B173),-1)&gt;0,"J_M5",IFERROR(FIND("M-4S",B173),-1)&gt;0,"J_M4S",IFERROR(FIND("M-3C",B173),-1)&gt;0,"J_M3C",IFERROR(FIND("M-3S",B173),-1)&gt;0,"J_M3S",IFERROR(FIND("M-3H",B173),-1)&gt;0,"J_M3H",IFERROR(FIND("H-IIA",B173),-1)&gt;0,"J_H2A",IFERROR(FIND("H-IIB",B173),-1)&gt;0,"J_H2B",IFERROR(FIND("H-II",B173),-1)&gt;0,"J_H2",IFERROR(FIND("H-I",B173),-1)&gt;0,"J_H1",IFERROR(FIND("N-II",B173),-1)&gt;0,"J_N2",IFERROR(FIND("N-I",B173),-1)&gt;0,"J_N1",IFERROR(FIND("イプシロン",B173),-1)&gt;0,"J_E",TRUE,"")</f>
        <v/>
      </c>
      <c r="G173" t="str">
        <f t="shared" si="8"/>
        <v/>
      </c>
    </row>
    <row r="174" spans="1:9" ht="27" x14ac:dyDescent="0.15">
      <c r="A174" s="1" t="s">
        <v>628</v>
      </c>
      <c r="B174" s="2" t="s">
        <v>142</v>
      </c>
      <c r="C174">
        <f t="shared" si="7"/>
        <v>111</v>
      </c>
      <c r="D174" t="s">
        <v>1136</v>
      </c>
      <c r="E174" t="str" cm="1">
        <f t="array" ref="E174">_xlfn.IFS(IFERROR(FIND("M-3SII",B174),-1)&gt;0,"J_M3S2",IFERROR(FIND("M-V",B174),-1)&gt;0,"J_M5",IFERROR(FIND("M-4S",B174),-1)&gt;0,"J_M4S",IFERROR(FIND("M-3C",B174),-1)&gt;0,"J_M3C",IFERROR(FIND("M-3S",B174),-1)&gt;0,"J_M3S",IFERROR(FIND("M-3H",B174),-1)&gt;0,"J_M3H",IFERROR(FIND("H-IIA",B174),-1)&gt;0,"J_H2A",IFERROR(FIND("H-IIB",B174),-1)&gt;0,"J_H2B",IFERROR(FIND("H-II",B174),-1)&gt;0,"J_H2",IFERROR(FIND("H-I",B174),-1)&gt;0,"J_H1",IFERROR(FIND("N-II",B174),-1)&gt;0,"J_N2",IFERROR(FIND("N-I",B174),-1)&gt;0,"J_N1",IFERROR(FIND("イプシロン",B174),-1)&gt;0,"J_E",TRUE,"")</f>
        <v/>
      </c>
      <c r="G174" t="str">
        <f t="shared" si="8"/>
        <v/>
      </c>
    </row>
    <row r="175" spans="1:9" ht="27" x14ac:dyDescent="0.15">
      <c r="A175" s="1" t="s">
        <v>629</v>
      </c>
      <c r="B175" s="2" t="s">
        <v>143</v>
      </c>
      <c r="C175">
        <f t="shared" si="7"/>
        <v>110</v>
      </c>
      <c r="D175" t="s">
        <v>1137</v>
      </c>
      <c r="E175" t="str" cm="1">
        <f t="array" ref="E175">_xlfn.IFS(IFERROR(FIND("M-3SII",B175),-1)&gt;0,"J_M3S2",IFERROR(FIND("M-V",B175),-1)&gt;0,"J_M5",IFERROR(FIND("M-4S",B175),-1)&gt;0,"J_M4S",IFERROR(FIND("M-3C",B175),-1)&gt;0,"J_M3C",IFERROR(FIND("M-3S",B175),-1)&gt;0,"J_M3S",IFERROR(FIND("M-3H",B175),-1)&gt;0,"J_M3H",IFERROR(FIND("H-IIA",B175),-1)&gt;0,"J_H2A",IFERROR(FIND("H-IIB",B175),-1)&gt;0,"J_H2B",IFERROR(FIND("H-II",B175),-1)&gt;0,"J_H2",IFERROR(FIND("H-I",B175),-1)&gt;0,"J_H1",IFERROR(FIND("N-II",B175),-1)&gt;0,"J_N2",IFERROR(FIND("N-I",B175),-1)&gt;0,"J_N1",IFERROR(FIND("イプシロン",B175),-1)&gt;0,"J_E",TRUE,"")</f>
        <v/>
      </c>
      <c r="G175" t="str">
        <f t="shared" si="8"/>
        <v/>
      </c>
    </row>
    <row r="176" spans="1:9" ht="27" x14ac:dyDescent="0.15">
      <c r="A176" s="1" t="s">
        <v>630</v>
      </c>
      <c r="B176" s="2" t="s">
        <v>144</v>
      </c>
      <c r="C176">
        <f t="shared" si="7"/>
        <v>94</v>
      </c>
      <c r="D176" t="s">
        <v>1138</v>
      </c>
      <c r="E176" t="str" cm="1">
        <f t="array" ref="E176">_xlfn.IFS(IFERROR(FIND("M-3SII",B176),-1)&gt;0,"J_M3S2",IFERROR(FIND("M-V",B176),-1)&gt;0,"J_M5",IFERROR(FIND("M-4S",B176),-1)&gt;0,"J_M4S",IFERROR(FIND("M-3C",B176),-1)&gt;0,"J_M3C",IFERROR(FIND("M-3S",B176),-1)&gt;0,"J_M3S",IFERROR(FIND("M-3H",B176),-1)&gt;0,"J_M3H",IFERROR(FIND("H-IIA",B176),-1)&gt;0,"J_H2A",IFERROR(FIND("H-IIB",B176),-1)&gt;0,"J_H2B",IFERROR(FIND("H-II",B176),-1)&gt;0,"J_H2",IFERROR(FIND("H-I",B176),-1)&gt;0,"J_H1",IFERROR(FIND("N-II",B176),-1)&gt;0,"J_N2",IFERROR(FIND("N-I",B176),-1)&gt;0,"J_N1",IFERROR(FIND("イプシロン",B176),-1)&gt;0,"J_E",TRUE,"")</f>
        <v/>
      </c>
      <c r="G176" t="str">
        <f t="shared" si="8"/>
        <v/>
      </c>
    </row>
    <row r="177" spans="1:9" ht="27" x14ac:dyDescent="0.15">
      <c r="A177" s="1" t="s">
        <v>631</v>
      </c>
      <c r="B177" s="2" t="s">
        <v>145</v>
      </c>
      <c r="C177">
        <f t="shared" si="7"/>
        <v>108</v>
      </c>
      <c r="D177" t="s">
        <v>1139</v>
      </c>
      <c r="E177" t="str" cm="1">
        <f t="array" ref="E177">_xlfn.IFS(IFERROR(FIND("M-3SII",B177),-1)&gt;0,"J_M3S2",IFERROR(FIND("M-V",B177),-1)&gt;0,"J_M5",IFERROR(FIND("M-4S",B177),-1)&gt;0,"J_M4S",IFERROR(FIND("M-3C",B177),-1)&gt;0,"J_M3C",IFERROR(FIND("M-3S",B177),-1)&gt;0,"J_M3S",IFERROR(FIND("M-3H",B177),-1)&gt;0,"J_M3H",IFERROR(FIND("H-IIA",B177),-1)&gt;0,"J_H2A",IFERROR(FIND("H-IIB",B177),-1)&gt;0,"J_H2B",IFERROR(FIND("H-II",B177),-1)&gt;0,"J_H2",IFERROR(FIND("H-I",B177),-1)&gt;0,"J_H1",IFERROR(FIND("N-II",B177),-1)&gt;0,"J_N2",IFERROR(FIND("N-I",B177),-1)&gt;0,"J_N1",IFERROR(FIND("イプシロン",B177),-1)&gt;0,"J_E",TRUE,"")</f>
        <v/>
      </c>
      <c r="G177" t="str">
        <f t="shared" si="8"/>
        <v/>
      </c>
    </row>
    <row r="178" spans="1:9" ht="27" x14ac:dyDescent="0.15">
      <c r="A178" s="1" t="s">
        <v>632</v>
      </c>
      <c r="B178" s="2" t="s">
        <v>146</v>
      </c>
      <c r="C178">
        <f t="shared" si="7"/>
        <v>107</v>
      </c>
      <c r="D178" t="s">
        <v>1140</v>
      </c>
      <c r="E178" t="str" cm="1">
        <f t="array" ref="E178">_xlfn.IFS(IFERROR(FIND("M-3SII",B178),-1)&gt;0,"J_M3S2",IFERROR(FIND("M-V",B178),-1)&gt;0,"J_M5",IFERROR(FIND("M-4S",B178),-1)&gt;0,"J_M4S",IFERROR(FIND("M-3C",B178),-1)&gt;0,"J_M3C",IFERROR(FIND("M-3S",B178),-1)&gt;0,"J_M3S",IFERROR(FIND("M-3H",B178),-1)&gt;0,"J_M3H",IFERROR(FIND("H-IIA",B178),-1)&gt;0,"J_H2A",IFERROR(FIND("H-IIB",B178),-1)&gt;0,"J_H2B",IFERROR(FIND("H-II",B178),-1)&gt;0,"J_H2",IFERROR(FIND("H-I",B178),-1)&gt;0,"J_H1",IFERROR(FIND("N-II",B178),-1)&gt;0,"J_N2",IFERROR(FIND("N-I",B178),-1)&gt;0,"J_N1",IFERROR(FIND("イプシロン",B178),-1)&gt;0,"J_E",TRUE,"")</f>
        <v/>
      </c>
      <c r="G178" t="str">
        <f t="shared" si="8"/>
        <v/>
      </c>
    </row>
    <row r="179" spans="1:9" ht="27" x14ac:dyDescent="0.15">
      <c r="A179" s="1" t="s">
        <v>633</v>
      </c>
      <c r="B179" s="2" t="s">
        <v>147</v>
      </c>
      <c r="C179">
        <f t="shared" si="7"/>
        <v>110</v>
      </c>
      <c r="D179" t="s">
        <v>1141</v>
      </c>
      <c r="E179" t="str" cm="1">
        <f t="array" ref="E179">_xlfn.IFS(IFERROR(FIND("M-3SII",B179),-1)&gt;0,"J_M3S2",IFERROR(FIND("M-V",B179),-1)&gt;0,"J_M5",IFERROR(FIND("M-4S",B179),-1)&gt;0,"J_M4S",IFERROR(FIND("M-3C",B179),-1)&gt;0,"J_M3C",IFERROR(FIND("M-3S",B179),-1)&gt;0,"J_M3S",IFERROR(FIND("M-3H",B179),-1)&gt;0,"J_M3H",IFERROR(FIND("H-IIA",B179),-1)&gt;0,"J_H2A",IFERROR(FIND("H-IIB",B179),-1)&gt;0,"J_H2B",IFERROR(FIND("H-II",B179),-1)&gt;0,"J_H2",IFERROR(FIND("H-I",B179),-1)&gt;0,"J_H1",IFERROR(FIND("N-II",B179),-1)&gt;0,"J_N2",IFERROR(FIND("N-I",B179),-1)&gt;0,"J_N1",IFERROR(FIND("イプシロン",B179),-1)&gt;0,"J_E",TRUE,"")</f>
        <v/>
      </c>
      <c r="G179" t="str">
        <f t="shared" si="8"/>
        <v/>
      </c>
    </row>
    <row r="180" spans="1:9" ht="27" x14ac:dyDescent="0.15">
      <c r="A180" s="1" t="s">
        <v>634</v>
      </c>
      <c r="B180" s="2" t="s">
        <v>148</v>
      </c>
      <c r="C180">
        <f t="shared" si="7"/>
        <v>112</v>
      </c>
      <c r="D180" t="s">
        <v>1142</v>
      </c>
      <c r="E180" t="str" cm="1">
        <f t="array" ref="E180">_xlfn.IFS(IFERROR(FIND("M-3SII",B180),-1)&gt;0,"J_M3S2",IFERROR(FIND("M-V",B180),-1)&gt;0,"J_M5",IFERROR(FIND("M-4S",B180),-1)&gt;0,"J_M4S",IFERROR(FIND("M-3C",B180),-1)&gt;0,"J_M3C",IFERROR(FIND("M-3S",B180),-1)&gt;0,"J_M3S",IFERROR(FIND("M-3H",B180),-1)&gt;0,"J_M3H",IFERROR(FIND("H-IIA",B180),-1)&gt;0,"J_H2A",IFERROR(FIND("H-IIB",B180),-1)&gt;0,"J_H2B",IFERROR(FIND("H-II",B180),-1)&gt;0,"J_H2",IFERROR(FIND("H-I",B180),-1)&gt;0,"J_H1",IFERROR(FIND("N-II",B180),-1)&gt;0,"J_N2",IFERROR(FIND("N-I",B180),-1)&gt;0,"J_N1",IFERROR(FIND("イプシロン",B180),-1)&gt;0,"J_E",TRUE,"")</f>
        <v/>
      </c>
      <c r="G180" t="str">
        <f t="shared" si="8"/>
        <v/>
      </c>
    </row>
    <row r="181" spans="1:9" ht="27" x14ac:dyDescent="0.15">
      <c r="A181" s="1" t="s">
        <v>635</v>
      </c>
      <c r="B181" s="2" t="s">
        <v>149</v>
      </c>
      <c r="C181">
        <f t="shared" si="7"/>
        <v>80</v>
      </c>
      <c r="D181" t="s">
        <v>1143</v>
      </c>
      <c r="E181" t="str" cm="1">
        <f t="array" ref="E181">_xlfn.IFS(IFERROR(FIND("M-3SII",B181),-1)&gt;0,"J_M3S2",IFERROR(FIND("M-V",B181),-1)&gt;0,"J_M5",IFERROR(FIND("M-4S",B181),-1)&gt;0,"J_M4S",IFERROR(FIND("M-3C",B181),-1)&gt;0,"J_M3C",IFERROR(FIND("M-3S",B181),-1)&gt;0,"J_M3S",IFERROR(FIND("M-3H",B181),-1)&gt;0,"J_M3H",IFERROR(FIND("H-IIA",B181),-1)&gt;0,"J_H2A",IFERROR(FIND("H-IIB",B181),-1)&gt;0,"J_H2B",IFERROR(FIND("H-II",B181),-1)&gt;0,"J_H2",IFERROR(FIND("H-I",B181),-1)&gt;0,"J_H1",IFERROR(FIND("N-II",B181),-1)&gt;0,"J_N2",IFERROR(FIND("N-I",B181),-1)&gt;0,"J_N1",IFERROR(FIND("イプシロン",B181),-1)&gt;0,"J_E",TRUE,"")</f>
        <v/>
      </c>
      <c r="G181" t="str">
        <f t="shared" si="8"/>
        <v/>
      </c>
    </row>
    <row r="182" spans="1:9" ht="27" x14ac:dyDescent="0.15">
      <c r="A182" s="1" t="s">
        <v>636</v>
      </c>
      <c r="B182" s="2" t="s">
        <v>150</v>
      </c>
      <c r="C182">
        <f t="shared" si="7"/>
        <v>111</v>
      </c>
      <c r="D182" t="s">
        <v>1144</v>
      </c>
      <c r="E182" t="str" cm="1">
        <f t="array" ref="E182">_xlfn.IFS(IFERROR(FIND("M-3SII",B182),-1)&gt;0,"J_M3S2",IFERROR(FIND("M-V",B182),-1)&gt;0,"J_M5",IFERROR(FIND("M-4S",B182),-1)&gt;0,"J_M4S",IFERROR(FIND("M-3C",B182),-1)&gt;0,"J_M3C",IFERROR(FIND("M-3S",B182),-1)&gt;0,"J_M3S",IFERROR(FIND("M-3H",B182),-1)&gt;0,"J_M3H",IFERROR(FIND("H-IIA",B182),-1)&gt;0,"J_H2A",IFERROR(FIND("H-IIB",B182),-1)&gt;0,"J_H2B",IFERROR(FIND("H-II",B182),-1)&gt;0,"J_H2",IFERROR(FIND("H-I",B182),-1)&gt;0,"J_H1",IFERROR(FIND("N-II",B182),-1)&gt;0,"J_N2",IFERROR(FIND("N-I",B182),-1)&gt;0,"J_N1",IFERROR(FIND("イプシロン",B182),-1)&gt;0,"J_E",TRUE,"")</f>
        <v/>
      </c>
      <c r="G182" t="str">
        <f t="shared" si="8"/>
        <v/>
      </c>
    </row>
    <row r="183" spans="1:9" ht="27" x14ac:dyDescent="0.15">
      <c r="A183" s="1" t="s">
        <v>637</v>
      </c>
      <c r="B183" s="2" t="s">
        <v>994</v>
      </c>
      <c r="C183">
        <f t="shared" si="7"/>
        <v>119</v>
      </c>
      <c r="D183" t="s">
        <v>1145</v>
      </c>
      <c r="E183" t="str" cm="1">
        <f t="array" ref="E183">_xlfn.IFS(IFERROR(FIND("M-3SII",B183),-1)&gt;0,"J_M3S2",IFERROR(FIND("M-V",B183),-1)&gt;0,"J_M5",IFERROR(FIND("M-4S",B183),-1)&gt;0,"J_M4S",IFERROR(FIND("M-3C",B183),-1)&gt;0,"J_M3C",IFERROR(FIND("M-3S",B183),-1)&gt;0,"J_M3S",IFERROR(FIND("M-3H",B183),-1)&gt;0,"J_M3H",IFERROR(FIND("H-IIA",B183),-1)&gt;0,"J_H2A",IFERROR(FIND("H-IIB",B183),-1)&gt;0,"J_H2B",IFERROR(FIND("H-II",B183),-1)&gt;0,"J_H2",IFERROR(FIND("H-I",B183),-1)&gt;0,"J_H1",IFERROR(FIND("N-II",B183),-1)&gt;0,"J_N2",IFERROR(FIND("N-I",B183),-1)&gt;0,"J_N1",IFERROR(FIND("イプシロン",B183),-1)&gt;0,"J_E",TRUE,"")</f>
        <v/>
      </c>
      <c r="G183" t="str">
        <f t="shared" si="8"/>
        <v/>
      </c>
      <c r="H183">
        <v>20170515</v>
      </c>
      <c r="I183" t="s">
        <v>1004</v>
      </c>
    </row>
    <row r="184" spans="1:9" ht="27" x14ac:dyDescent="0.15">
      <c r="A184" s="1" t="s">
        <v>638</v>
      </c>
      <c r="B184" s="2" t="s">
        <v>151</v>
      </c>
      <c r="C184">
        <f t="shared" si="7"/>
        <v>106</v>
      </c>
      <c r="D184" t="s">
        <v>1146</v>
      </c>
      <c r="E184" t="str" cm="1">
        <f t="array" ref="E184">_xlfn.IFS(IFERROR(FIND("M-3SII",B184),-1)&gt;0,"J_M3S2",IFERROR(FIND("M-V",B184),-1)&gt;0,"J_M5",IFERROR(FIND("M-4S",B184),-1)&gt;0,"J_M4S",IFERROR(FIND("M-3C",B184),-1)&gt;0,"J_M3C",IFERROR(FIND("M-3S",B184),-1)&gt;0,"J_M3S",IFERROR(FIND("M-3H",B184),-1)&gt;0,"J_M3H",IFERROR(FIND("H-IIA",B184),-1)&gt;0,"J_H2A",IFERROR(FIND("H-IIB",B184),-1)&gt;0,"J_H2B",IFERROR(FIND("H-II",B184),-1)&gt;0,"J_H2",IFERROR(FIND("H-I",B184),-1)&gt;0,"J_H1",IFERROR(FIND("N-II",B184),-1)&gt;0,"J_N2",IFERROR(FIND("N-I",B184),-1)&gt;0,"J_N1",IFERROR(FIND("イプシロン",B184),-1)&gt;0,"J_E",TRUE,"")</f>
        <v/>
      </c>
      <c r="G184" t="str">
        <f t="shared" si="8"/>
        <v/>
      </c>
    </row>
    <row r="185" spans="1:9" ht="27" x14ac:dyDescent="0.15">
      <c r="A185" s="1" t="s">
        <v>639</v>
      </c>
      <c r="B185" s="2" t="s">
        <v>152</v>
      </c>
      <c r="C185">
        <f t="shared" si="7"/>
        <v>95</v>
      </c>
      <c r="D185" t="s">
        <v>1481</v>
      </c>
      <c r="E185" t="str" cm="1">
        <f t="array" ref="E185">_xlfn.IFS(IFERROR(FIND("M-3SII",B185),-1)&gt;0,"J_M3S2",IFERROR(FIND("M-V",B185),-1)&gt;0,"J_M5",IFERROR(FIND("M-4S",B185),-1)&gt;0,"J_M4S",IFERROR(FIND("M-3C",B185),-1)&gt;0,"J_M3C",IFERROR(FIND("M-3S",B185),-1)&gt;0,"J_M3S",IFERROR(FIND("M-3H",B185),-1)&gt;0,"J_M3H",IFERROR(FIND("H-IIA",B185),-1)&gt;0,"J_H2A",IFERROR(FIND("H-IIB",B185),-1)&gt;0,"J_H2B",IFERROR(FIND("H-II",B185),-1)&gt;0,"J_H2",IFERROR(FIND("H-I",B185),-1)&gt;0,"J_H1",IFERROR(FIND("N-II",B185),-1)&gt;0,"J_N2",IFERROR(FIND("N-I",B185),-1)&gt;0,"J_N1",IFERROR(FIND("イプシロン",B185),-1)&gt;0,"J_E",TRUE,"")</f>
        <v/>
      </c>
      <c r="G185" t="str">
        <f t="shared" si="8"/>
        <v/>
      </c>
    </row>
    <row r="186" spans="1:9" ht="27" x14ac:dyDescent="0.15">
      <c r="A186" s="1" t="s">
        <v>640</v>
      </c>
      <c r="B186" s="2" t="s">
        <v>153</v>
      </c>
      <c r="C186">
        <f t="shared" si="7"/>
        <v>87</v>
      </c>
      <c r="D186" t="s">
        <v>1147</v>
      </c>
      <c r="E186" t="str" cm="1">
        <f t="array" ref="E186">_xlfn.IFS(IFERROR(FIND("M-3SII",B186),-1)&gt;0,"J_M3S2",IFERROR(FIND("M-V",B186),-1)&gt;0,"J_M5",IFERROR(FIND("M-4S",B186),-1)&gt;0,"J_M4S",IFERROR(FIND("M-3C",B186),-1)&gt;0,"J_M3C",IFERROR(FIND("M-3S",B186),-1)&gt;0,"J_M3S",IFERROR(FIND("M-3H",B186),-1)&gt;0,"J_M3H",IFERROR(FIND("H-IIA",B186),-1)&gt;0,"J_H2A",IFERROR(FIND("H-IIB",B186),-1)&gt;0,"J_H2B",IFERROR(FIND("H-II",B186),-1)&gt;0,"J_H2",IFERROR(FIND("H-I",B186),-1)&gt;0,"J_H1",IFERROR(FIND("N-II",B186),-1)&gt;0,"J_N2",IFERROR(FIND("N-I",B186),-1)&gt;0,"J_N1",IFERROR(FIND("イプシロン",B186),-1)&gt;0,"J_E",TRUE,"")</f>
        <v/>
      </c>
      <c r="G186" t="str">
        <f t="shared" si="8"/>
        <v/>
      </c>
    </row>
    <row r="187" spans="1:9" ht="27" x14ac:dyDescent="0.15">
      <c r="A187" s="1" t="s">
        <v>641</v>
      </c>
      <c r="B187" s="2" t="s">
        <v>154</v>
      </c>
      <c r="C187">
        <f t="shared" si="7"/>
        <v>85</v>
      </c>
      <c r="D187" t="s">
        <v>1482</v>
      </c>
      <c r="E187" t="str" cm="1">
        <f t="array" ref="E187">_xlfn.IFS(IFERROR(FIND("M-3SII",B187),-1)&gt;0,"J_M3S2",IFERROR(FIND("M-V",B187),-1)&gt;0,"J_M5",IFERROR(FIND("M-4S",B187),-1)&gt;0,"J_M4S",IFERROR(FIND("M-3C",B187),-1)&gt;0,"J_M3C",IFERROR(FIND("M-3S",B187),-1)&gt;0,"J_M3S",IFERROR(FIND("M-3H",B187),-1)&gt;0,"J_M3H",IFERROR(FIND("H-IIA",B187),-1)&gt;0,"J_H2A",IFERROR(FIND("H-IIB",B187),-1)&gt;0,"J_H2B",IFERROR(FIND("H-II",B187),-1)&gt;0,"J_H2",IFERROR(FIND("H-I",B187),-1)&gt;0,"J_H1",IFERROR(FIND("N-II",B187),-1)&gt;0,"J_N2",IFERROR(FIND("N-I",B187),-1)&gt;0,"J_N1",IFERROR(FIND("イプシロン",B187),-1)&gt;0,"J_E",TRUE,"")</f>
        <v/>
      </c>
      <c r="G187" t="str">
        <f t="shared" si="8"/>
        <v/>
      </c>
    </row>
    <row r="188" spans="1:9" ht="27" x14ac:dyDescent="0.15">
      <c r="A188" s="1" t="s">
        <v>642</v>
      </c>
      <c r="B188" s="2" t="s">
        <v>155</v>
      </c>
      <c r="C188">
        <f t="shared" si="7"/>
        <v>71</v>
      </c>
      <c r="D188" t="s">
        <v>1148</v>
      </c>
      <c r="E188" t="str" cm="1">
        <f t="array" ref="E188">_xlfn.IFS(IFERROR(FIND("M-3SII",B188),-1)&gt;0,"J_M3S2",IFERROR(FIND("M-V",B188),-1)&gt;0,"J_M5",IFERROR(FIND("M-4S",B188),-1)&gt;0,"J_M4S",IFERROR(FIND("M-3C",B188),-1)&gt;0,"J_M3C",IFERROR(FIND("M-3S",B188),-1)&gt;0,"J_M3S",IFERROR(FIND("M-3H",B188),-1)&gt;0,"J_M3H",IFERROR(FIND("H-IIA",B188),-1)&gt;0,"J_H2A",IFERROR(FIND("H-IIB",B188),-1)&gt;0,"J_H2B",IFERROR(FIND("H-II",B188),-1)&gt;0,"J_H2",IFERROR(FIND("H-I",B188),-1)&gt;0,"J_H1",IFERROR(FIND("N-II",B188),-1)&gt;0,"J_N2",IFERROR(FIND("N-I",B188),-1)&gt;0,"J_N1",IFERROR(FIND("イプシロン",B188),-1)&gt;0,"J_E",TRUE,"")</f>
        <v/>
      </c>
      <c r="G188" t="str">
        <f t="shared" si="8"/>
        <v/>
      </c>
    </row>
    <row r="189" spans="1:9" ht="27" x14ac:dyDescent="0.15">
      <c r="A189" s="1" t="s">
        <v>643</v>
      </c>
      <c r="B189" s="2" t="s">
        <v>156</v>
      </c>
      <c r="C189">
        <f t="shared" si="7"/>
        <v>110</v>
      </c>
      <c r="D189" t="s">
        <v>1149</v>
      </c>
      <c r="E189" t="str" cm="1">
        <f t="array" ref="E189">_xlfn.IFS(IFERROR(FIND("M-3SII",B189),-1)&gt;0,"J_M3S2",IFERROR(FIND("M-V",B189),-1)&gt;0,"J_M5",IFERROR(FIND("M-4S",B189),-1)&gt;0,"J_M4S",IFERROR(FIND("M-3C",B189),-1)&gt;0,"J_M3C",IFERROR(FIND("M-3S",B189),-1)&gt;0,"J_M3S",IFERROR(FIND("M-3H",B189),-1)&gt;0,"J_M3H",IFERROR(FIND("H-IIA",B189),-1)&gt;0,"J_H2A",IFERROR(FIND("H-IIB",B189),-1)&gt;0,"J_H2B",IFERROR(FIND("H-II",B189),-1)&gt;0,"J_H2",IFERROR(FIND("H-I",B189),-1)&gt;0,"J_H1",IFERROR(FIND("N-II",B189),-1)&gt;0,"J_N2",IFERROR(FIND("N-I",B189),-1)&gt;0,"J_N1",IFERROR(FIND("イプシロン",B189),-1)&gt;0,"J_E",TRUE,"")</f>
        <v/>
      </c>
      <c r="G189" t="str">
        <f t="shared" si="8"/>
        <v/>
      </c>
    </row>
    <row r="190" spans="1:9" ht="27" x14ac:dyDescent="0.15">
      <c r="A190" s="1" t="s">
        <v>644</v>
      </c>
      <c r="B190" s="2" t="s">
        <v>157</v>
      </c>
      <c r="C190">
        <f t="shared" si="7"/>
        <v>101</v>
      </c>
      <c r="D190" t="s">
        <v>1150</v>
      </c>
      <c r="E190" t="str" cm="1">
        <f t="array" ref="E190">_xlfn.IFS(IFERROR(FIND("M-3SII",B190),-1)&gt;0,"J_M3S2",IFERROR(FIND("M-V",B190),-1)&gt;0,"J_M5",IFERROR(FIND("M-4S",B190),-1)&gt;0,"J_M4S",IFERROR(FIND("M-3C",B190),-1)&gt;0,"J_M3C",IFERROR(FIND("M-3S",B190),-1)&gt;0,"J_M3S",IFERROR(FIND("M-3H",B190),-1)&gt;0,"J_M3H",IFERROR(FIND("H-IIA",B190),-1)&gt;0,"J_H2A",IFERROR(FIND("H-IIB",B190),-1)&gt;0,"J_H2B",IFERROR(FIND("H-II",B190),-1)&gt;0,"J_H2",IFERROR(FIND("H-I",B190),-1)&gt;0,"J_H1",IFERROR(FIND("N-II",B190),-1)&gt;0,"J_N2",IFERROR(FIND("N-I",B190),-1)&gt;0,"J_N1",IFERROR(FIND("イプシロン",B190),-1)&gt;0,"J_E",TRUE,"")</f>
        <v/>
      </c>
      <c r="G190" t="str">
        <f t="shared" si="8"/>
        <v/>
      </c>
    </row>
    <row r="191" spans="1:9" x14ac:dyDescent="0.15">
      <c r="A191" s="1" t="s">
        <v>645</v>
      </c>
      <c r="B191" s="2" t="s">
        <v>158</v>
      </c>
      <c r="C191">
        <f t="shared" si="7"/>
        <v>65</v>
      </c>
      <c r="D191" t="s">
        <v>1483</v>
      </c>
      <c r="E191" t="str" cm="1">
        <f t="array" ref="E191">_xlfn.IFS(IFERROR(FIND("M-3SII",B191),-1)&gt;0,"J_M3S2",IFERROR(FIND("M-V",B191),-1)&gt;0,"J_M5",IFERROR(FIND("M-4S",B191),-1)&gt;0,"J_M4S",IFERROR(FIND("M-3C",B191),-1)&gt;0,"J_M3C",IFERROR(FIND("M-3S",B191),-1)&gt;0,"J_M3S",IFERROR(FIND("M-3H",B191),-1)&gt;0,"J_M3H",IFERROR(FIND("H-IIA",B191),-1)&gt;0,"J_H2A",IFERROR(FIND("H-IIB",B191),-1)&gt;0,"J_H2B",IFERROR(FIND("H-II",B191),-1)&gt;0,"J_H2",IFERROR(FIND("H-I",B191),-1)&gt;0,"J_H1",IFERROR(FIND("N-II",B191),-1)&gt;0,"J_N2",IFERROR(FIND("N-I",B191),-1)&gt;0,"J_N1",IFERROR(FIND("イプシロン",B191),-1)&gt;0,"J_E",TRUE,"")</f>
        <v/>
      </c>
      <c r="G191" t="str">
        <f t="shared" si="8"/>
        <v/>
      </c>
    </row>
    <row r="192" spans="1:9" ht="27" x14ac:dyDescent="0.15">
      <c r="A192" s="1" t="s">
        <v>646</v>
      </c>
      <c r="B192" s="2" t="s">
        <v>159</v>
      </c>
      <c r="C192">
        <f t="shared" si="7"/>
        <v>84</v>
      </c>
      <c r="D192" t="s">
        <v>1151</v>
      </c>
      <c r="E192" t="str" cm="1">
        <f t="array" ref="E192">_xlfn.IFS(IFERROR(FIND("M-3SII",B192),-1)&gt;0,"J_M3S2",IFERROR(FIND("M-V",B192),-1)&gt;0,"J_M5",IFERROR(FIND("M-4S",B192),-1)&gt;0,"J_M4S",IFERROR(FIND("M-3C",B192),-1)&gt;0,"J_M3C",IFERROR(FIND("M-3S",B192),-1)&gt;0,"J_M3S",IFERROR(FIND("M-3H",B192),-1)&gt;0,"J_M3H",IFERROR(FIND("H-IIA",B192),-1)&gt;0,"J_H2A",IFERROR(FIND("H-IIB",B192),-1)&gt;0,"J_H2B",IFERROR(FIND("H-II",B192),-1)&gt;0,"J_H2",IFERROR(FIND("H-I",B192),-1)&gt;0,"J_H1",IFERROR(FIND("N-II",B192),-1)&gt;0,"J_N2",IFERROR(FIND("N-I",B192),-1)&gt;0,"J_N1",IFERROR(FIND("イプシロン",B192),-1)&gt;0,"J_E",TRUE,"")</f>
        <v/>
      </c>
      <c r="G192" t="str">
        <f t="shared" si="8"/>
        <v/>
      </c>
    </row>
    <row r="193" spans="1:9" ht="27" x14ac:dyDescent="0.15">
      <c r="A193" s="1" t="s">
        <v>647</v>
      </c>
      <c r="B193" s="2" t="s">
        <v>160</v>
      </c>
      <c r="C193">
        <f t="shared" si="7"/>
        <v>108</v>
      </c>
      <c r="D193" t="s">
        <v>1152</v>
      </c>
      <c r="E193" t="str" cm="1">
        <f t="array" ref="E193">_xlfn.IFS(IFERROR(FIND("M-3SII",B193),-1)&gt;0,"J_M3S2",IFERROR(FIND("M-V",B193),-1)&gt;0,"J_M5",IFERROR(FIND("M-4S",B193),-1)&gt;0,"J_M4S",IFERROR(FIND("M-3C",B193),-1)&gt;0,"J_M3C",IFERROR(FIND("M-3S",B193),-1)&gt;0,"J_M3S",IFERROR(FIND("M-3H",B193),-1)&gt;0,"J_M3H",IFERROR(FIND("H-IIA",B193),-1)&gt;0,"J_H2A",IFERROR(FIND("H-IIB",B193),-1)&gt;0,"J_H2B",IFERROR(FIND("H-II",B193),-1)&gt;0,"J_H2",IFERROR(FIND("H-I",B193),-1)&gt;0,"J_H1",IFERROR(FIND("N-II",B193),-1)&gt;0,"J_N2",IFERROR(FIND("N-I",B193),-1)&gt;0,"J_N1",IFERROR(FIND("イプシロン",B193),-1)&gt;0,"J_E",TRUE,"")</f>
        <v/>
      </c>
      <c r="G193" t="str">
        <f t="shared" si="8"/>
        <v/>
      </c>
    </row>
    <row r="194" spans="1:9" ht="27" x14ac:dyDescent="0.15">
      <c r="A194" s="1" t="s">
        <v>648</v>
      </c>
      <c r="B194" s="2" t="s">
        <v>161</v>
      </c>
      <c r="C194">
        <f t="shared" si="7"/>
        <v>111</v>
      </c>
      <c r="D194" t="s">
        <v>1153</v>
      </c>
      <c r="E194" t="str" cm="1">
        <f t="array" ref="E194">_xlfn.IFS(IFERROR(FIND("M-3SII",B194),-1)&gt;0,"J_M3S2",IFERROR(FIND("M-V",B194),-1)&gt;0,"J_M5",IFERROR(FIND("M-4S",B194),-1)&gt;0,"J_M4S",IFERROR(FIND("M-3C",B194),-1)&gt;0,"J_M3C",IFERROR(FIND("M-3S",B194),-1)&gt;0,"J_M3S",IFERROR(FIND("M-3H",B194),-1)&gt;0,"J_M3H",IFERROR(FIND("H-IIA",B194),-1)&gt;0,"J_H2A",IFERROR(FIND("H-IIB",B194),-1)&gt;0,"J_H2B",IFERROR(FIND("H-II",B194),-1)&gt;0,"J_H2",IFERROR(FIND("H-I",B194),-1)&gt;0,"J_H1",IFERROR(FIND("N-II",B194),-1)&gt;0,"J_N2",IFERROR(FIND("N-I",B194),-1)&gt;0,"J_N1",IFERROR(FIND("イプシロン",B194),-1)&gt;0,"J_E",TRUE,"")</f>
        <v/>
      </c>
      <c r="G194" t="str">
        <f t="shared" si="8"/>
        <v/>
      </c>
    </row>
    <row r="195" spans="1:9" ht="27" x14ac:dyDescent="0.15">
      <c r="A195" s="1" t="s">
        <v>649</v>
      </c>
      <c r="B195" s="2" t="s">
        <v>162</v>
      </c>
      <c r="C195">
        <f t="shared" si="7"/>
        <v>111</v>
      </c>
      <c r="D195" t="s">
        <v>1154</v>
      </c>
      <c r="E195" t="str" cm="1">
        <f t="array" ref="E195">_xlfn.IFS(IFERROR(FIND("M-3SII",B195),-1)&gt;0,"J_M3S2",IFERROR(FIND("M-V",B195),-1)&gt;0,"J_M5",IFERROR(FIND("M-4S",B195),-1)&gt;0,"J_M4S",IFERROR(FIND("M-3C",B195),-1)&gt;0,"J_M3C",IFERROR(FIND("M-3S",B195),-1)&gt;0,"J_M3S",IFERROR(FIND("M-3H",B195),-1)&gt;0,"J_M3H",IFERROR(FIND("H-IIA",B195),-1)&gt;0,"J_H2A",IFERROR(FIND("H-IIB",B195),-1)&gt;0,"J_H2B",IFERROR(FIND("H-II",B195),-1)&gt;0,"J_H2",IFERROR(FIND("H-I",B195),-1)&gt;0,"J_H1",IFERROR(FIND("N-II",B195),-1)&gt;0,"J_N2",IFERROR(FIND("N-I",B195),-1)&gt;0,"J_N1",IFERROR(FIND("イプシロン",B195),-1)&gt;0,"J_E",TRUE,"")</f>
        <v/>
      </c>
      <c r="G195" t="str">
        <f t="shared" si="8"/>
        <v/>
      </c>
    </row>
    <row r="196" spans="1:9" ht="27" x14ac:dyDescent="0.15">
      <c r="A196" s="1" t="s">
        <v>650</v>
      </c>
      <c r="B196" s="2" t="s">
        <v>163</v>
      </c>
      <c r="C196">
        <f t="shared" si="7"/>
        <v>77</v>
      </c>
      <c r="D196" t="s">
        <v>1155</v>
      </c>
      <c r="E196" t="str" cm="1">
        <f t="array" ref="E196">_xlfn.IFS(IFERROR(FIND("M-3SII",B196),-1)&gt;0,"J_M3S2",IFERROR(FIND("M-V",B196),-1)&gt;0,"J_M5",IFERROR(FIND("M-4S",B196),-1)&gt;0,"J_M4S",IFERROR(FIND("M-3C",B196),-1)&gt;0,"J_M3C",IFERROR(FIND("M-3S",B196),-1)&gt;0,"J_M3S",IFERROR(FIND("M-3H",B196),-1)&gt;0,"J_M3H",IFERROR(FIND("H-IIA",B196),-1)&gt;0,"J_H2A",IFERROR(FIND("H-IIB",B196),-1)&gt;0,"J_H2B",IFERROR(FIND("H-II",B196),-1)&gt;0,"J_H2",IFERROR(FIND("H-I",B196),-1)&gt;0,"J_H1",IFERROR(FIND("N-II",B196),-1)&gt;0,"J_N2",IFERROR(FIND("N-I",B196),-1)&gt;0,"J_N1",IFERROR(FIND("イプシロン",B196),-1)&gt;0,"J_E",TRUE,"")</f>
        <v/>
      </c>
      <c r="G196" t="str">
        <f t="shared" si="8"/>
        <v/>
      </c>
    </row>
    <row r="197" spans="1:9" ht="27" x14ac:dyDescent="0.15">
      <c r="A197" s="1" t="s">
        <v>651</v>
      </c>
      <c r="B197" s="2" t="s">
        <v>164</v>
      </c>
      <c r="C197">
        <f t="shared" si="7"/>
        <v>84</v>
      </c>
      <c r="D197" t="s">
        <v>1156</v>
      </c>
      <c r="E197" t="str" cm="1">
        <f t="array" ref="E197">_xlfn.IFS(IFERROR(FIND("M-3SII",B197),-1)&gt;0,"J_M3S2",IFERROR(FIND("M-V",B197),-1)&gt;0,"J_M5",IFERROR(FIND("M-4S",B197),-1)&gt;0,"J_M4S",IFERROR(FIND("M-3C",B197),-1)&gt;0,"J_M3C",IFERROR(FIND("M-3S",B197),-1)&gt;0,"J_M3S",IFERROR(FIND("M-3H",B197),-1)&gt;0,"J_M3H",IFERROR(FIND("H-IIA",B197),-1)&gt;0,"J_H2A",IFERROR(FIND("H-IIB",B197),-1)&gt;0,"J_H2B",IFERROR(FIND("H-II",B197),-1)&gt;0,"J_H2",IFERROR(FIND("H-I",B197),-1)&gt;0,"J_H1",IFERROR(FIND("N-II",B197),-1)&gt;0,"J_N2",IFERROR(FIND("N-I",B197),-1)&gt;0,"J_N1",IFERROR(FIND("イプシロン",B197),-1)&gt;0,"J_E",TRUE,"")</f>
        <v/>
      </c>
      <c r="G197" t="str">
        <f t="shared" si="8"/>
        <v/>
      </c>
    </row>
    <row r="198" spans="1:9" ht="27" x14ac:dyDescent="0.15">
      <c r="A198" s="1" t="s">
        <v>652</v>
      </c>
      <c r="B198" s="2" t="s">
        <v>165</v>
      </c>
      <c r="C198">
        <f t="shared" si="7"/>
        <v>109</v>
      </c>
      <c r="D198" t="s">
        <v>1157</v>
      </c>
      <c r="E198" t="str" cm="1">
        <f t="array" ref="E198">_xlfn.IFS(IFERROR(FIND("M-3SII",B198),-1)&gt;0,"J_M3S2",IFERROR(FIND("M-V",B198),-1)&gt;0,"J_M5",IFERROR(FIND("M-4S",B198),-1)&gt;0,"J_M4S",IFERROR(FIND("M-3C",B198),-1)&gt;0,"J_M3C",IFERROR(FIND("M-3S",B198),-1)&gt;0,"J_M3S",IFERROR(FIND("M-3H",B198),-1)&gt;0,"J_M3H",IFERROR(FIND("H-IIA",B198),-1)&gt;0,"J_H2A",IFERROR(FIND("H-IIB",B198),-1)&gt;0,"J_H2B",IFERROR(FIND("H-II",B198),-1)&gt;0,"J_H2",IFERROR(FIND("H-I",B198),-1)&gt;0,"J_H1",IFERROR(FIND("N-II",B198),-1)&gt;0,"J_N2",IFERROR(FIND("N-I",B198),-1)&gt;0,"J_N1",IFERROR(FIND("イプシロン",B198),-1)&gt;0,"J_E",TRUE,"")</f>
        <v/>
      </c>
      <c r="G198" t="str">
        <f t="shared" si="8"/>
        <v/>
      </c>
    </row>
    <row r="199" spans="1:9" ht="27" x14ac:dyDescent="0.15">
      <c r="A199" s="1" t="s">
        <v>653</v>
      </c>
      <c r="B199" s="2" t="s">
        <v>166</v>
      </c>
      <c r="C199">
        <f t="shared" si="7"/>
        <v>88</v>
      </c>
      <c r="D199" t="s">
        <v>1158</v>
      </c>
      <c r="E199" t="str" cm="1">
        <f t="array" ref="E199">_xlfn.IFS(IFERROR(FIND("M-3SII",B199),-1)&gt;0,"J_M3S2",IFERROR(FIND("M-V",B199),-1)&gt;0,"J_M5",IFERROR(FIND("M-4S",B199),-1)&gt;0,"J_M4S",IFERROR(FIND("M-3C",B199),-1)&gt;0,"J_M3C",IFERROR(FIND("M-3S",B199),-1)&gt;0,"J_M3S",IFERROR(FIND("M-3H",B199),-1)&gt;0,"J_M3H",IFERROR(FIND("H-IIA",B199),-1)&gt;0,"J_H2A",IFERROR(FIND("H-IIB",B199),-1)&gt;0,"J_H2B",IFERROR(FIND("H-II",B199),-1)&gt;0,"J_H2",IFERROR(FIND("H-I",B199),-1)&gt;0,"J_H1",IFERROR(FIND("N-II",B199),-1)&gt;0,"J_N2",IFERROR(FIND("N-I",B199),-1)&gt;0,"J_N1",IFERROR(FIND("イプシロン",B199),-1)&gt;0,"J_E",TRUE,"")</f>
        <v/>
      </c>
      <c r="G199" t="str">
        <f t="shared" si="8"/>
        <v/>
      </c>
    </row>
    <row r="200" spans="1:9" ht="27" x14ac:dyDescent="0.15">
      <c r="A200" s="1" t="s">
        <v>654</v>
      </c>
      <c r="B200" s="2" t="s">
        <v>167</v>
      </c>
      <c r="C200">
        <f t="shared" si="7"/>
        <v>108</v>
      </c>
      <c r="D200" t="s">
        <v>1159</v>
      </c>
      <c r="E200" t="str" cm="1">
        <f t="array" ref="E200">_xlfn.IFS(IFERROR(FIND("M-3SII",B200),-1)&gt;0,"J_M3S2",IFERROR(FIND("M-V",B200),-1)&gt;0,"J_M5",IFERROR(FIND("M-4S",B200),-1)&gt;0,"J_M4S",IFERROR(FIND("M-3C",B200),-1)&gt;0,"J_M3C",IFERROR(FIND("M-3S",B200),-1)&gt;0,"J_M3S",IFERROR(FIND("M-3H",B200),-1)&gt;0,"J_M3H",IFERROR(FIND("H-IIA",B200),-1)&gt;0,"J_H2A",IFERROR(FIND("H-IIB",B200),-1)&gt;0,"J_H2B",IFERROR(FIND("H-II",B200),-1)&gt;0,"J_H2",IFERROR(FIND("H-I",B200),-1)&gt;0,"J_H1",IFERROR(FIND("N-II",B200),-1)&gt;0,"J_N2",IFERROR(FIND("N-I",B200),-1)&gt;0,"J_N1",IFERROR(FIND("イプシロン",B200),-1)&gt;0,"J_E",TRUE,"")</f>
        <v/>
      </c>
      <c r="G200" t="str">
        <f t="shared" si="8"/>
        <v/>
      </c>
    </row>
    <row r="201" spans="1:9" ht="27" x14ac:dyDescent="0.15">
      <c r="A201" s="1" t="s">
        <v>655</v>
      </c>
      <c r="B201" s="2" t="s">
        <v>168</v>
      </c>
      <c r="C201">
        <f t="shared" si="7"/>
        <v>107</v>
      </c>
      <c r="D201" t="s">
        <v>1160</v>
      </c>
      <c r="E201" t="str" cm="1">
        <f t="array" ref="E201">_xlfn.IFS(IFERROR(FIND("M-3SII",B201),-1)&gt;0,"J_M3S2",IFERROR(FIND("M-V",B201),-1)&gt;0,"J_M5",IFERROR(FIND("M-4S",B201),-1)&gt;0,"J_M4S",IFERROR(FIND("M-3C",B201),-1)&gt;0,"J_M3C",IFERROR(FIND("M-3S",B201),-1)&gt;0,"J_M3S",IFERROR(FIND("M-3H",B201),-1)&gt;0,"J_M3H",IFERROR(FIND("H-IIA",B201),-1)&gt;0,"J_H2A",IFERROR(FIND("H-IIB",B201),-1)&gt;0,"J_H2B",IFERROR(FIND("H-II",B201),-1)&gt;0,"J_H2",IFERROR(FIND("H-I",B201),-1)&gt;0,"J_H1",IFERROR(FIND("N-II",B201),-1)&gt;0,"J_N2",IFERROR(FIND("N-I",B201),-1)&gt;0,"J_N1",IFERROR(FIND("イプシロン",B201),-1)&gt;0,"J_E",TRUE,"")</f>
        <v/>
      </c>
      <c r="G201" t="str">
        <f t="shared" si="8"/>
        <v/>
      </c>
    </row>
    <row r="202" spans="1:9" ht="27" x14ac:dyDescent="0.15">
      <c r="A202" s="1" t="s">
        <v>656</v>
      </c>
      <c r="B202" s="2" t="s">
        <v>169</v>
      </c>
      <c r="C202">
        <f t="shared" ref="C202:C265" si="9">LEN(B202)</f>
        <v>90</v>
      </c>
      <c r="D202" t="s">
        <v>1161</v>
      </c>
      <c r="E202" t="str" cm="1">
        <f t="array" ref="E202">_xlfn.IFS(IFERROR(FIND("M-3SII",B202),-1)&gt;0,"J_M3S2",IFERROR(FIND("M-V",B202),-1)&gt;0,"J_M5",IFERROR(FIND("M-4S",B202),-1)&gt;0,"J_M4S",IFERROR(FIND("M-3C",B202),-1)&gt;0,"J_M3C",IFERROR(FIND("M-3S",B202),-1)&gt;0,"J_M3S",IFERROR(FIND("M-3H",B202),-1)&gt;0,"J_M3H",IFERROR(FIND("H-IIA",B202),-1)&gt;0,"J_H2A",IFERROR(FIND("H-IIB",B202),-1)&gt;0,"J_H2B",IFERROR(FIND("H-II",B202),-1)&gt;0,"J_H2",IFERROR(FIND("H-I",B202),-1)&gt;0,"J_H1",IFERROR(FIND("N-II",B202),-1)&gt;0,"J_N2",IFERROR(FIND("N-I",B202),-1)&gt;0,"J_N1",IFERROR(FIND("イプシロン",B202),-1)&gt;0,"J_E",TRUE,"")</f>
        <v/>
      </c>
      <c r="G202" t="str">
        <f t="shared" si="8"/>
        <v/>
      </c>
    </row>
    <row r="203" spans="1:9" ht="27" x14ac:dyDescent="0.15">
      <c r="A203" s="1" t="s">
        <v>657</v>
      </c>
      <c r="B203" s="2" t="s">
        <v>170</v>
      </c>
      <c r="C203">
        <f t="shared" si="9"/>
        <v>106</v>
      </c>
      <c r="D203" t="s">
        <v>1162</v>
      </c>
      <c r="E203" t="str" cm="1">
        <f t="array" ref="E203">_xlfn.IFS(IFERROR(FIND("M-3SII",B203),-1)&gt;0,"J_M3S2",IFERROR(FIND("M-V",B203),-1)&gt;0,"J_M5",IFERROR(FIND("M-4S",B203),-1)&gt;0,"J_M4S",IFERROR(FIND("M-3C",B203),-1)&gt;0,"J_M3C",IFERROR(FIND("M-3S",B203),-1)&gt;0,"J_M3S",IFERROR(FIND("M-3H",B203),-1)&gt;0,"J_M3H",IFERROR(FIND("H-IIA",B203),-1)&gt;0,"J_H2A",IFERROR(FIND("H-IIB",B203),-1)&gt;0,"J_H2B",IFERROR(FIND("H-II",B203),-1)&gt;0,"J_H2",IFERROR(FIND("H-I",B203),-1)&gt;0,"J_H1",IFERROR(FIND("N-II",B203),-1)&gt;0,"J_N2",IFERROR(FIND("N-I",B203),-1)&gt;0,"J_N1",IFERROR(FIND("イプシロン",B203),-1)&gt;0,"J_E",TRUE,"")</f>
        <v/>
      </c>
      <c r="G203" t="str">
        <f t="shared" ref="G203:G266" si="10">IF(E203&lt;&gt;"",E203&amp;"_"&amp;F203,"")</f>
        <v/>
      </c>
      <c r="H203">
        <v>20170515</v>
      </c>
      <c r="I203" t="s">
        <v>1003</v>
      </c>
    </row>
    <row r="204" spans="1:9" ht="27" x14ac:dyDescent="0.15">
      <c r="A204" s="1" t="s">
        <v>658</v>
      </c>
      <c r="B204" s="2" t="s">
        <v>1023</v>
      </c>
      <c r="C204">
        <f t="shared" si="9"/>
        <v>133</v>
      </c>
      <c r="D204" t="s">
        <v>1484</v>
      </c>
      <c r="E204" t="str" cm="1">
        <f t="array" ref="E204">_xlfn.IFS(IFERROR(FIND("M-3SII",B204),-1)&gt;0,"J_M3S2",IFERROR(FIND("M-V",B204),-1)&gt;0,"J_M5",IFERROR(FIND("M-4S",B204),-1)&gt;0,"J_M4S",IFERROR(FIND("M-3C",B204),-1)&gt;0,"J_M3C",IFERROR(FIND("M-3S",B204),-1)&gt;0,"J_M3S",IFERROR(FIND("M-3H",B204),-1)&gt;0,"J_M3H",IFERROR(FIND("H-IIA",B204),-1)&gt;0,"J_H2A",IFERROR(FIND("H-IIB",B204),-1)&gt;0,"J_H2B",IFERROR(FIND("H-II",B204),-1)&gt;0,"J_H2",IFERROR(FIND("H-I",B204),-1)&gt;0,"J_H1",IFERROR(FIND("N-II",B204),-1)&gt;0,"J_N2",IFERROR(FIND("N-I",B204),-1)&gt;0,"J_N1",IFERROR(FIND("イプシロン",B204),-1)&gt;0,"J_E",TRUE,"")</f>
        <v/>
      </c>
      <c r="G204" t="str">
        <f t="shared" si="10"/>
        <v/>
      </c>
      <c r="H204">
        <v>20180427</v>
      </c>
      <c r="I204" t="s">
        <v>1022</v>
      </c>
    </row>
    <row r="205" spans="1:9" x14ac:dyDescent="0.15">
      <c r="A205" s="1" t="s">
        <v>659</v>
      </c>
      <c r="B205" s="2" t="s">
        <v>171</v>
      </c>
      <c r="C205">
        <f t="shared" si="9"/>
        <v>62</v>
      </c>
      <c r="D205" t="s">
        <v>1163</v>
      </c>
      <c r="E205" t="str" cm="1">
        <f t="array" ref="E205">_xlfn.IFS(IFERROR(FIND("M-3SII",B205),-1)&gt;0,"J_M3S2",IFERROR(FIND("M-V",B205),-1)&gt;0,"J_M5",IFERROR(FIND("M-4S",B205),-1)&gt;0,"J_M4S",IFERROR(FIND("M-3C",B205),-1)&gt;0,"J_M3C",IFERROR(FIND("M-3S",B205),-1)&gt;0,"J_M3S",IFERROR(FIND("M-3H",B205),-1)&gt;0,"J_M3H",IFERROR(FIND("H-IIA",B205),-1)&gt;0,"J_H2A",IFERROR(FIND("H-IIB",B205),-1)&gt;0,"J_H2B",IFERROR(FIND("H-II",B205),-1)&gt;0,"J_H2",IFERROR(FIND("H-I",B205),-1)&gt;0,"J_H1",IFERROR(FIND("N-II",B205),-1)&gt;0,"J_N2",IFERROR(FIND("N-I",B205),-1)&gt;0,"J_N1",IFERROR(FIND("イプシロン",B205),-1)&gt;0,"J_E",TRUE,"")</f>
        <v/>
      </c>
      <c r="G205" t="str">
        <f t="shared" si="10"/>
        <v/>
      </c>
    </row>
    <row r="206" spans="1:9" ht="27" x14ac:dyDescent="0.15">
      <c r="A206" s="1" t="s">
        <v>660</v>
      </c>
      <c r="B206" s="2" t="s">
        <v>172</v>
      </c>
      <c r="C206">
        <f t="shared" si="9"/>
        <v>109</v>
      </c>
      <c r="D206" t="s">
        <v>1164</v>
      </c>
      <c r="E206" t="str" cm="1">
        <f t="array" ref="E206">_xlfn.IFS(IFERROR(FIND("M-3SII",B206),-1)&gt;0,"J_M3S2",IFERROR(FIND("M-V",B206),-1)&gt;0,"J_M5",IFERROR(FIND("M-4S",B206),-1)&gt;0,"J_M4S",IFERROR(FIND("M-3C",B206),-1)&gt;0,"J_M3C",IFERROR(FIND("M-3S",B206),-1)&gt;0,"J_M3S",IFERROR(FIND("M-3H",B206),-1)&gt;0,"J_M3H",IFERROR(FIND("H-IIA",B206),-1)&gt;0,"J_H2A",IFERROR(FIND("H-IIB",B206),-1)&gt;0,"J_H2B",IFERROR(FIND("H-II",B206),-1)&gt;0,"J_H2",IFERROR(FIND("H-I",B206),-1)&gt;0,"J_H1",IFERROR(FIND("N-II",B206),-1)&gt;0,"J_N2",IFERROR(FIND("N-I",B206),-1)&gt;0,"J_N1",IFERROR(FIND("イプシロン",B206),-1)&gt;0,"J_E",TRUE,"")</f>
        <v/>
      </c>
      <c r="G206" t="str">
        <f t="shared" si="10"/>
        <v/>
      </c>
    </row>
    <row r="207" spans="1:9" ht="27" x14ac:dyDescent="0.15">
      <c r="A207" s="1" t="s">
        <v>661</v>
      </c>
      <c r="B207" s="2" t="s">
        <v>173</v>
      </c>
      <c r="C207">
        <f t="shared" si="9"/>
        <v>108</v>
      </c>
      <c r="D207" t="s">
        <v>1165</v>
      </c>
      <c r="E207" t="str" cm="1">
        <f t="array" ref="E207">_xlfn.IFS(IFERROR(FIND("M-3SII",B207),-1)&gt;0,"J_M3S2",IFERROR(FIND("M-V",B207),-1)&gt;0,"J_M5",IFERROR(FIND("M-4S",B207),-1)&gt;0,"J_M4S",IFERROR(FIND("M-3C",B207),-1)&gt;0,"J_M3C",IFERROR(FIND("M-3S",B207),-1)&gt;0,"J_M3S",IFERROR(FIND("M-3H",B207),-1)&gt;0,"J_M3H",IFERROR(FIND("H-IIA",B207),-1)&gt;0,"J_H2A",IFERROR(FIND("H-IIB",B207),-1)&gt;0,"J_H2B",IFERROR(FIND("H-II",B207),-1)&gt;0,"J_H2",IFERROR(FIND("H-I",B207),-1)&gt;0,"J_H1",IFERROR(FIND("N-II",B207),-1)&gt;0,"J_N2",IFERROR(FIND("N-I",B207),-1)&gt;0,"J_N1",IFERROR(FIND("イプシロン",B207),-1)&gt;0,"J_E",TRUE,"")</f>
        <v/>
      </c>
      <c r="G207" t="str">
        <f t="shared" si="10"/>
        <v/>
      </c>
    </row>
    <row r="208" spans="1:9" ht="27" x14ac:dyDescent="0.15">
      <c r="A208" s="1" t="s">
        <v>662</v>
      </c>
      <c r="B208" s="2" t="s">
        <v>174</v>
      </c>
      <c r="C208">
        <f t="shared" si="9"/>
        <v>82</v>
      </c>
      <c r="D208" t="s">
        <v>1166</v>
      </c>
      <c r="E208" t="str" cm="1">
        <f t="array" ref="E208">_xlfn.IFS(IFERROR(FIND("M-3SII",B208),-1)&gt;0,"J_M3S2",IFERROR(FIND("M-V",B208),-1)&gt;0,"J_M5",IFERROR(FIND("M-4S",B208),-1)&gt;0,"J_M4S",IFERROR(FIND("M-3C",B208),-1)&gt;0,"J_M3C",IFERROR(FIND("M-3S",B208),-1)&gt;0,"J_M3S",IFERROR(FIND("M-3H",B208),-1)&gt;0,"J_M3H",IFERROR(FIND("H-IIA",B208),-1)&gt;0,"J_H2A",IFERROR(FIND("H-IIB",B208),-1)&gt;0,"J_H2B",IFERROR(FIND("H-II",B208),-1)&gt;0,"J_H2",IFERROR(FIND("H-I",B208),-1)&gt;0,"J_H1",IFERROR(FIND("N-II",B208),-1)&gt;0,"J_N2",IFERROR(FIND("N-I",B208),-1)&gt;0,"J_N1",IFERROR(FIND("イプシロン",B208),-1)&gt;0,"J_E",TRUE,"")</f>
        <v/>
      </c>
      <c r="G208" t="str">
        <f t="shared" si="10"/>
        <v/>
      </c>
    </row>
    <row r="209" spans="1:9" ht="40.5" x14ac:dyDescent="0.15">
      <c r="A209" s="1" t="s">
        <v>663</v>
      </c>
      <c r="B209" s="2" t="s">
        <v>1024</v>
      </c>
      <c r="C209">
        <f t="shared" si="9"/>
        <v>130</v>
      </c>
      <c r="D209" t="s">
        <v>1167</v>
      </c>
      <c r="E209" t="str" cm="1">
        <f t="array" ref="E209">_xlfn.IFS(IFERROR(FIND("M-3SII",B209),-1)&gt;0,"J_M3S2",IFERROR(FIND("M-V",B209),-1)&gt;0,"J_M5",IFERROR(FIND("M-4S",B209),-1)&gt;0,"J_M4S",IFERROR(FIND("M-3C",B209),-1)&gt;0,"J_M3C",IFERROR(FIND("M-3S",B209),-1)&gt;0,"J_M3S",IFERROR(FIND("M-3H",B209),-1)&gt;0,"J_M3H",IFERROR(FIND("H-IIA",B209),-1)&gt;0,"J_H2A",IFERROR(FIND("H-IIB",B209),-1)&gt;0,"J_H2B",IFERROR(FIND("H-II",B209),-1)&gt;0,"J_H2",IFERROR(FIND("H-I",B209),-1)&gt;0,"J_H1",IFERROR(FIND("N-II",B209),-1)&gt;0,"J_N2",IFERROR(FIND("N-I",B209),-1)&gt;0,"J_N1",IFERROR(FIND("イプシロン",B209),-1)&gt;0,"J_E",TRUE,"")</f>
        <v/>
      </c>
      <c r="G209" t="str">
        <f t="shared" si="10"/>
        <v/>
      </c>
    </row>
    <row r="210" spans="1:9" ht="27" x14ac:dyDescent="0.15">
      <c r="A210" s="1" t="s">
        <v>664</v>
      </c>
      <c r="B210" s="2" t="s">
        <v>175</v>
      </c>
      <c r="C210">
        <f t="shared" si="9"/>
        <v>109</v>
      </c>
      <c r="D210" t="s">
        <v>1168</v>
      </c>
      <c r="E210" t="str" cm="1">
        <f t="array" ref="E210">_xlfn.IFS(IFERROR(FIND("M-3SII",B210),-1)&gt;0,"J_M3S2",IFERROR(FIND("M-V",B210),-1)&gt;0,"J_M5",IFERROR(FIND("M-4S",B210),-1)&gt;0,"J_M4S",IFERROR(FIND("M-3C",B210),-1)&gt;0,"J_M3C",IFERROR(FIND("M-3S",B210),-1)&gt;0,"J_M3S",IFERROR(FIND("M-3H",B210),-1)&gt;0,"J_M3H",IFERROR(FIND("H-IIA",B210),-1)&gt;0,"J_H2A",IFERROR(FIND("H-IIB",B210),-1)&gt;0,"J_H2B",IFERROR(FIND("H-II",B210),-1)&gt;0,"J_H2",IFERROR(FIND("H-I",B210),-1)&gt;0,"J_H1",IFERROR(FIND("N-II",B210),-1)&gt;0,"J_N2",IFERROR(FIND("N-I",B210),-1)&gt;0,"J_N1",IFERROR(FIND("イプシロン",B210),-1)&gt;0,"J_E",TRUE,"")</f>
        <v/>
      </c>
      <c r="G210" t="str">
        <f t="shared" si="10"/>
        <v/>
      </c>
    </row>
    <row r="211" spans="1:9" ht="27" x14ac:dyDescent="0.15">
      <c r="A211" s="1" t="s">
        <v>665</v>
      </c>
      <c r="B211" s="2" t="s">
        <v>176</v>
      </c>
      <c r="C211">
        <f t="shared" si="9"/>
        <v>106</v>
      </c>
      <c r="D211" t="s">
        <v>1169</v>
      </c>
      <c r="E211" t="str" cm="1">
        <f t="array" ref="E211">_xlfn.IFS(IFERROR(FIND("M-3SII",B211),-1)&gt;0,"J_M3S2",IFERROR(FIND("M-V",B211),-1)&gt;0,"J_M5",IFERROR(FIND("M-4S",B211),-1)&gt;0,"J_M4S",IFERROR(FIND("M-3C",B211),-1)&gt;0,"J_M3C",IFERROR(FIND("M-3S",B211),-1)&gt;0,"J_M3S",IFERROR(FIND("M-3H",B211),-1)&gt;0,"J_M3H",IFERROR(FIND("H-IIA",B211),-1)&gt;0,"J_H2A",IFERROR(FIND("H-IIB",B211),-1)&gt;0,"J_H2B",IFERROR(FIND("H-II",B211),-1)&gt;0,"J_H2",IFERROR(FIND("H-I",B211),-1)&gt;0,"J_H1",IFERROR(FIND("N-II",B211),-1)&gt;0,"J_N2",IFERROR(FIND("N-I",B211),-1)&gt;0,"J_N1",IFERROR(FIND("イプシロン",B211),-1)&gt;0,"J_E",TRUE,"")</f>
        <v/>
      </c>
      <c r="G211" t="str">
        <f t="shared" si="10"/>
        <v/>
      </c>
    </row>
    <row r="212" spans="1:9" ht="27" x14ac:dyDescent="0.15">
      <c r="A212" s="1" t="s">
        <v>666</v>
      </c>
      <c r="B212" s="2" t="s">
        <v>177</v>
      </c>
      <c r="C212">
        <f t="shared" si="9"/>
        <v>89</v>
      </c>
      <c r="D212" t="s">
        <v>1170</v>
      </c>
      <c r="E212" t="str" cm="1">
        <f t="array" ref="E212">_xlfn.IFS(IFERROR(FIND("M-3SII",B212),-1)&gt;0,"J_M3S2",IFERROR(FIND("M-V",B212),-1)&gt;0,"J_M5",IFERROR(FIND("M-4S",B212),-1)&gt;0,"J_M4S",IFERROR(FIND("M-3C",B212),-1)&gt;0,"J_M3C",IFERROR(FIND("M-3S",B212),-1)&gt;0,"J_M3S",IFERROR(FIND("M-3H",B212),-1)&gt;0,"J_M3H",IFERROR(FIND("H-IIA",B212),-1)&gt;0,"J_H2A",IFERROR(FIND("H-IIB",B212),-1)&gt;0,"J_H2B",IFERROR(FIND("H-II",B212),-1)&gt;0,"J_H2",IFERROR(FIND("H-I",B212),-1)&gt;0,"J_H1",IFERROR(FIND("N-II",B212),-1)&gt;0,"J_N2",IFERROR(FIND("N-I",B212),-1)&gt;0,"J_N1",IFERROR(FIND("イプシロン",B212),-1)&gt;0,"J_E",TRUE,"")</f>
        <v/>
      </c>
      <c r="G212" t="str">
        <f t="shared" si="10"/>
        <v/>
      </c>
    </row>
    <row r="213" spans="1:9" ht="27" x14ac:dyDescent="0.15">
      <c r="A213" s="1" t="s">
        <v>667</v>
      </c>
      <c r="B213" s="2" t="s">
        <v>178</v>
      </c>
      <c r="C213">
        <f t="shared" si="9"/>
        <v>104</v>
      </c>
      <c r="D213" t="s">
        <v>1171</v>
      </c>
      <c r="E213" t="str" cm="1">
        <f t="array" ref="E213">_xlfn.IFS(IFERROR(FIND("M-3SII",B213),-1)&gt;0,"J_M3S2",IFERROR(FIND("M-V",B213),-1)&gt;0,"J_M5",IFERROR(FIND("M-4S",B213),-1)&gt;0,"J_M4S",IFERROR(FIND("M-3C",B213),-1)&gt;0,"J_M3C",IFERROR(FIND("M-3S",B213),-1)&gt;0,"J_M3S",IFERROR(FIND("M-3H",B213),-1)&gt;0,"J_M3H",IFERROR(FIND("H-IIA",B213),-1)&gt;0,"J_H2A",IFERROR(FIND("H-IIB",B213),-1)&gt;0,"J_H2B",IFERROR(FIND("H-II",B213),-1)&gt;0,"J_H2",IFERROR(FIND("H-I",B213),-1)&gt;0,"J_H1",IFERROR(FIND("N-II",B213),-1)&gt;0,"J_N2",IFERROR(FIND("N-I",B213),-1)&gt;0,"J_N1",IFERROR(FIND("イプシロン",B213),-1)&gt;0,"J_E",TRUE,"")</f>
        <v/>
      </c>
      <c r="G213" t="str">
        <f t="shared" si="10"/>
        <v/>
      </c>
    </row>
    <row r="214" spans="1:9" ht="27" x14ac:dyDescent="0.15">
      <c r="A214" s="1" t="s">
        <v>668</v>
      </c>
      <c r="B214" s="2" t="s">
        <v>179</v>
      </c>
      <c r="C214">
        <f t="shared" si="9"/>
        <v>108</v>
      </c>
      <c r="D214" t="s">
        <v>1172</v>
      </c>
      <c r="E214" t="str" cm="1">
        <f t="array" ref="E214">_xlfn.IFS(IFERROR(FIND("M-3SII",B214),-1)&gt;0,"J_M3S2",IFERROR(FIND("M-V",B214),-1)&gt;0,"J_M5",IFERROR(FIND("M-4S",B214),-1)&gt;0,"J_M4S",IFERROR(FIND("M-3C",B214),-1)&gt;0,"J_M3C",IFERROR(FIND("M-3S",B214),-1)&gt;0,"J_M3S",IFERROR(FIND("M-3H",B214),-1)&gt;0,"J_M3H",IFERROR(FIND("H-IIA",B214),-1)&gt;0,"J_H2A",IFERROR(FIND("H-IIB",B214),-1)&gt;0,"J_H2B",IFERROR(FIND("H-II",B214),-1)&gt;0,"J_H2",IFERROR(FIND("H-I",B214),-1)&gt;0,"J_H1",IFERROR(FIND("N-II",B214),-1)&gt;0,"J_N2",IFERROR(FIND("N-I",B214),-1)&gt;0,"J_N1",IFERROR(FIND("イプシロン",B214),-1)&gt;0,"J_E",TRUE,"")</f>
        <v/>
      </c>
      <c r="G214" t="str">
        <f t="shared" si="10"/>
        <v/>
      </c>
    </row>
    <row r="215" spans="1:9" ht="27" x14ac:dyDescent="0.15">
      <c r="A215" s="1" t="s">
        <v>669</v>
      </c>
      <c r="B215" s="2" t="s">
        <v>180</v>
      </c>
      <c r="C215">
        <f t="shared" si="9"/>
        <v>107</v>
      </c>
      <c r="D215" t="s">
        <v>1173</v>
      </c>
      <c r="E215" t="s">
        <v>1598</v>
      </c>
      <c r="F215">
        <v>5</v>
      </c>
      <c r="G215" t="str">
        <f t="shared" si="10"/>
        <v>J_M5_5</v>
      </c>
    </row>
    <row r="216" spans="1:9" ht="27" x14ac:dyDescent="0.15">
      <c r="A216" s="1" t="s">
        <v>670</v>
      </c>
      <c r="B216" s="2" t="s">
        <v>1616</v>
      </c>
      <c r="C216">
        <f t="shared" si="9"/>
        <v>148</v>
      </c>
      <c r="D216" t="s">
        <v>1485</v>
      </c>
      <c r="E216" t="str" cm="1">
        <f t="array" ref="E216">_xlfn.IFS(IFERROR(FIND("M-3SII",B216),-1)&gt;0,"J_M3S2",IFERROR(FIND("M-V",B216),-1)&gt;0,"J_M5",IFERROR(FIND("M-4S",B216),-1)&gt;0,"J_M4S",IFERROR(FIND("M-3C",B216),-1)&gt;0,"J_M3C",IFERROR(FIND("M-3S",B216),-1)&gt;0,"J_M3S",IFERROR(FIND("M-3H",B216),-1)&gt;0,"J_M3H",IFERROR(FIND("H-IIA",B216),-1)&gt;0,"J_H2A",IFERROR(FIND("H-IIB",B216),-1)&gt;0,"J_H2B",IFERROR(FIND("H-II",B216),-1)&gt;0,"J_H2",IFERROR(FIND("H-I",B216),-1)&gt;0,"J_H1",IFERROR(FIND("N-II",B216),-1)&gt;0,"J_N2",IFERROR(FIND("N-I",B216),-1)&gt;0,"J_N1",IFERROR(FIND("イプシロン",B216),-1)&gt;0,"J_E",TRUE,"")</f>
        <v>J_M5</v>
      </c>
      <c r="F216">
        <v>5</v>
      </c>
      <c r="G216" t="str">
        <f t="shared" si="10"/>
        <v>J_M5_5</v>
      </c>
    </row>
    <row r="217" spans="1:9" ht="27" x14ac:dyDescent="0.15">
      <c r="A217" s="1" t="s">
        <v>713</v>
      </c>
      <c r="B217" s="2" t="s">
        <v>1909</v>
      </c>
      <c r="C217">
        <f t="shared" si="9"/>
        <v>112</v>
      </c>
      <c r="D217" t="s">
        <v>1605</v>
      </c>
      <c r="E217" t="s">
        <v>1603</v>
      </c>
      <c r="F217">
        <v>5</v>
      </c>
      <c r="G217" t="str">
        <f t="shared" si="10"/>
        <v>J_M5_5</v>
      </c>
      <c r="H217">
        <v>20260611</v>
      </c>
      <c r="I217" t="s">
        <v>1004</v>
      </c>
    </row>
    <row r="218" spans="1:9" x14ac:dyDescent="0.15">
      <c r="A218" s="1" t="s">
        <v>720</v>
      </c>
      <c r="B218" s="2" t="s">
        <v>1910</v>
      </c>
      <c r="C218">
        <f t="shared" si="9"/>
        <v>54</v>
      </c>
      <c r="D218" t="s">
        <v>1606</v>
      </c>
      <c r="E218" t="s">
        <v>1603</v>
      </c>
      <c r="F218">
        <v>5</v>
      </c>
      <c r="G218" t="str">
        <f t="shared" si="10"/>
        <v>J_M5_5</v>
      </c>
      <c r="H218">
        <v>20260611</v>
      </c>
      <c r="I218" t="s">
        <v>1004</v>
      </c>
    </row>
    <row r="219" spans="1:9" ht="40.5" x14ac:dyDescent="0.15">
      <c r="A219" s="1" t="s">
        <v>721</v>
      </c>
      <c r="B219" s="2" t="s">
        <v>1911</v>
      </c>
      <c r="C219">
        <f t="shared" si="9"/>
        <v>140</v>
      </c>
      <c r="D219" t="s">
        <v>1607</v>
      </c>
      <c r="E219" t="s">
        <v>1603</v>
      </c>
      <c r="F219">
        <v>5</v>
      </c>
      <c r="G219" t="str">
        <f t="shared" si="10"/>
        <v>J_M5_5</v>
      </c>
      <c r="H219">
        <v>20260611</v>
      </c>
      <c r="I219" t="s">
        <v>1004</v>
      </c>
    </row>
    <row r="220" spans="1:9" ht="27" x14ac:dyDescent="0.15">
      <c r="A220" s="1" t="s">
        <v>722</v>
      </c>
      <c r="B220" s="2" t="s">
        <v>1912</v>
      </c>
      <c r="C220">
        <f t="shared" si="9"/>
        <v>114</v>
      </c>
      <c r="D220" t="s">
        <v>1608</v>
      </c>
      <c r="E220" t="s">
        <v>1603</v>
      </c>
      <c r="F220">
        <v>5</v>
      </c>
      <c r="G220" t="str">
        <f t="shared" si="10"/>
        <v>J_M5_5</v>
      </c>
      <c r="H220">
        <v>20260611</v>
      </c>
      <c r="I220" t="s">
        <v>1004</v>
      </c>
    </row>
    <row r="221" spans="1:9" ht="27" x14ac:dyDescent="0.15">
      <c r="A221" s="1" t="s">
        <v>723</v>
      </c>
      <c r="B221" s="2" t="s">
        <v>1913</v>
      </c>
      <c r="C221">
        <f t="shared" si="9"/>
        <v>80</v>
      </c>
      <c r="D221" t="s">
        <v>1609</v>
      </c>
      <c r="E221" t="s">
        <v>1603</v>
      </c>
      <c r="F221">
        <v>5</v>
      </c>
      <c r="G221" t="str">
        <f t="shared" si="10"/>
        <v>J_M5_5</v>
      </c>
      <c r="H221">
        <v>20260611</v>
      </c>
      <c r="I221" t="s">
        <v>1004</v>
      </c>
    </row>
    <row r="222" spans="1:9" ht="27" x14ac:dyDescent="0.15">
      <c r="A222" s="1" t="s">
        <v>671</v>
      </c>
      <c r="B222" s="2" t="s">
        <v>181</v>
      </c>
      <c r="C222">
        <f t="shared" si="9"/>
        <v>103</v>
      </c>
      <c r="D222" t="s">
        <v>1174</v>
      </c>
      <c r="E222" t="str" cm="1">
        <f t="array" ref="E222">_xlfn.IFS(IFERROR(FIND("M-3SII",B222),-1)&gt;0,"J_M3S2",IFERROR(FIND("M-V",B222),-1)&gt;0,"J_M5",IFERROR(FIND("M-4S",B222),-1)&gt;0,"J_M4S",IFERROR(FIND("M-3C",B222),-1)&gt;0,"J_M3C",IFERROR(FIND("M-3S",B222),-1)&gt;0,"J_M3S",IFERROR(FIND("M-3H",B222),-1)&gt;0,"J_M3H",IFERROR(FIND("H-IIA",B222),-1)&gt;0,"J_H2A",IFERROR(FIND("H-IIB",B222),-1)&gt;0,"J_H2B",IFERROR(FIND("H-II",B222),-1)&gt;0,"J_H2",IFERROR(FIND("H-I",B222),-1)&gt;0,"J_H1",IFERROR(FIND("N-II",B222),-1)&gt;0,"J_N2",IFERROR(FIND("N-I",B222),-1)&gt;0,"J_N1",IFERROR(FIND("イプシロン",B222),-1)&gt;0,"J_E",TRUE,"")</f>
        <v/>
      </c>
      <c r="G222" t="str">
        <f t="shared" si="10"/>
        <v/>
      </c>
    </row>
    <row r="223" spans="1:9" ht="27" x14ac:dyDescent="0.15">
      <c r="A223" s="1" t="s">
        <v>672</v>
      </c>
      <c r="B223" s="2" t="s">
        <v>182</v>
      </c>
      <c r="C223">
        <f t="shared" si="9"/>
        <v>106</v>
      </c>
      <c r="D223" t="s">
        <v>1175</v>
      </c>
      <c r="E223" t="str" cm="1">
        <f t="array" ref="E223">_xlfn.IFS(IFERROR(FIND("M-3SII",B223),-1)&gt;0,"J_M3S2",IFERROR(FIND("M-V",B223),-1)&gt;0,"J_M5",IFERROR(FIND("M-4S",B223),-1)&gt;0,"J_M4S",IFERROR(FIND("M-3C",B223),-1)&gt;0,"J_M3C",IFERROR(FIND("M-3S",B223),-1)&gt;0,"J_M3S",IFERROR(FIND("M-3H",B223),-1)&gt;0,"J_M3H",IFERROR(FIND("H-IIA",B223),-1)&gt;0,"J_H2A",IFERROR(FIND("H-IIB",B223),-1)&gt;0,"J_H2B",IFERROR(FIND("H-II",B223),-1)&gt;0,"J_H2",IFERROR(FIND("H-I",B223),-1)&gt;0,"J_H1",IFERROR(FIND("N-II",B223),-1)&gt;0,"J_N2",IFERROR(FIND("N-I",B223),-1)&gt;0,"J_N1",IFERROR(FIND("イプシロン",B223),-1)&gt;0,"J_E",TRUE,"")</f>
        <v/>
      </c>
      <c r="G223" t="str">
        <f t="shared" si="10"/>
        <v/>
      </c>
    </row>
    <row r="224" spans="1:9" ht="27" x14ac:dyDescent="0.15">
      <c r="A224" s="1" t="s">
        <v>673</v>
      </c>
      <c r="B224" s="2" t="s">
        <v>183</v>
      </c>
      <c r="C224">
        <f t="shared" si="9"/>
        <v>106</v>
      </c>
      <c r="D224" t="s">
        <v>1176</v>
      </c>
      <c r="E224" t="str" cm="1">
        <f t="array" ref="E224">_xlfn.IFS(IFERROR(FIND("M-3SII",B224),-1)&gt;0,"J_M3S2",IFERROR(FIND("M-V",B224),-1)&gt;0,"J_M5",IFERROR(FIND("M-4S",B224),-1)&gt;0,"J_M4S",IFERROR(FIND("M-3C",B224),-1)&gt;0,"J_M3C",IFERROR(FIND("M-3S",B224),-1)&gt;0,"J_M3S",IFERROR(FIND("M-3H",B224),-1)&gt;0,"J_M3H",IFERROR(FIND("H-IIA",B224),-1)&gt;0,"J_H2A",IFERROR(FIND("H-IIB",B224),-1)&gt;0,"J_H2B",IFERROR(FIND("H-II",B224),-1)&gt;0,"J_H2",IFERROR(FIND("H-I",B224),-1)&gt;0,"J_H1",IFERROR(FIND("N-II",B224),-1)&gt;0,"J_N2",IFERROR(FIND("N-I",B224),-1)&gt;0,"J_N1",IFERROR(FIND("イプシロン",B224),-1)&gt;0,"J_E",TRUE,"")</f>
        <v/>
      </c>
      <c r="G224" t="str">
        <f t="shared" si="10"/>
        <v/>
      </c>
    </row>
    <row r="225" spans="1:9" ht="27" x14ac:dyDescent="0.15">
      <c r="A225" s="1" t="s">
        <v>674</v>
      </c>
      <c r="B225" s="2" t="s">
        <v>184</v>
      </c>
      <c r="C225">
        <f t="shared" si="9"/>
        <v>100</v>
      </c>
      <c r="D225" t="s">
        <v>1177</v>
      </c>
      <c r="E225" t="str" cm="1">
        <f t="array" ref="E225">_xlfn.IFS(IFERROR(FIND("M-3SII",B225),-1)&gt;0,"J_M3S2",IFERROR(FIND("M-V",B225),-1)&gt;0,"J_M5",IFERROR(FIND("M-4S",B225),-1)&gt;0,"J_M4S",IFERROR(FIND("M-3C",B225),-1)&gt;0,"J_M3C",IFERROR(FIND("M-3S",B225),-1)&gt;0,"J_M3S",IFERROR(FIND("M-3H",B225),-1)&gt;0,"J_M3H",IFERROR(FIND("H-IIA",B225),-1)&gt;0,"J_H2A",IFERROR(FIND("H-IIB",B225),-1)&gt;0,"J_H2B",IFERROR(FIND("H-II",B225),-1)&gt;0,"J_H2",IFERROR(FIND("H-I",B225),-1)&gt;0,"J_H1",IFERROR(FIND("N-II",B225),-1)&gt;0,"J_N2",IFERROR(FIND("N-I",B225),-1)&gt;0,"J_N1",IFERROR(FIND("イプシロン",B225),-1)&gt;0,"J_E",TRUE,"")</f>
        <v/>
      </c>
      <c r="G225" t="str">
        <f t="shared" si="10"/>
        <v/>
      </c>
    </row>
    <row r="226" spans="1:9" ht="27" x14ac:dyDescent="0.15">
      <c r="A226" s="1" t="s">
        <v>675</v>
      </c>
      <c r="B226" s="2" t="s">
        <v>185</v>
      </c>
      <c r="C226">
        <f t="shared" si="9"/>
        <v>107</v>
      </c>
      <c r="D226" t="s">
        <v>1178</v>
      </c>
      <c r="E226" t="str" cm="1">
        <f t="array" ref="E226">_xlfn.IFS(IFERROR(FIND("M-3SII",B226),-1)&gt;0,"J_M3S2",IFERROR(FIND("M-V",B226),-1)&gt;0,"J_M5",IFERROR(FIND("M-4S",B226),-1)&gt;0,"J_M4S",IFERROR(FIND("M-3C",B226),-1)&gt;0,"J_M3C",IFERROR(FIND("M-3S",B226),-1)&gt;0,"J_M3S",IFERROR(FIND("M-3H",B226),-1)&gt;0,"J_M3H",IFERROR(FIND("H-IIA",B226),-1)&gt;0,"J_H2A",IFERROR(FIND("H-IIB",B226),-1)&gt;0,"J_H2B",IFERROR(FIND("H-II",B226),-1)&gt;0,"J_H2",IFERROR(FIND("H-I",B226),-1)&gt;0,"J_H1",IFERROR(FIND("N-II",B226),-1)&gt;0,"J_N2",IFERROR(FIND("N-I",B226),-1)&gt;0,"J_N1",IFERROR(FIND("イプシロン",B226),-1)&gt;0,"J_E",TRUE,"")</f>
        <v/>
      </c>
      <c r="G226" t="str">
        <f t="shared" si="10"/>
        <v/>
      </c>
    </row>
    <row r="227" spans="1:9" ht="27" x14ac:dyDescent="0.15">
      <c r="A227" s="1" t="s">
        <v>676</v>
      </c>
      <c r="B227" s="2" t="s">
        <v>186</v>
      </c>
      <c r="C227">
        <f t="shared" si="9"/>
        <v>107</v>
      </c>
      <c r="D227" t="s">
        <v>1486</v>
      </c>
      <c r="E227" t="str" cm="1">
        <f t="array" ref="E227">_xlfn.IFS(IFERROR(FIND("M-3SII",B227),-1)&gt;0,"J_M3S2",IFERROR(FIND("M-V",B227),-1)&gt;0,"J_M5",IFERROR(FIND("M-4S",B227),-1)&gt;0,"J_M4S",IFERROR(FIND("M-3C",B227),-1)&gt;0,"J_M3C",IFERROR(FIND("M-3S",B227),-1)&gt;0,"J_M3S",IFERROR(FIND("M-3H",B227),-1)&gt;0,"J_M3H",IFERROR(FIND("H-IIA",B227),-1)&gt;0,"J_H2A",IFERROR(FIND("H-IIB",B227),-1)&gt;0,"J_H2B",IFERROR(FIND("H-II",B227),-1)&gt;0,"J_H2",IFERROR(FIND("H-I",B227),-1)&gt;0,"J_H1",IFERROR(FIND("N-II",B227),-1)&gt;0,"J_N2",IFERROR(FIND("N-I",B227),-1)&gt;0,"J_N1",IFERROR(FIND("イプシロン",B227),-1)&gt;0,"J_E",TRUE,"")</f>
        <v/>
      </c>
      <c r="G227" t="str">
        <f t="shared" si="10"/>
        <v/>
      </c>
    </row>
    <row r="228" spans="1:9" ht="27" x14ac:dyDescent="0.15">
      <c r="A228" s="1" t="s">
        <v>677</v>
      </c>
      <c r="B228" s="2" t="s">
        <v>187</v>
      </c>
      <c r="C228">
        <f t="shared" si="9"/>
        <v>107</v>
      </c>
      <c r="D228" t="s">
        <v>1179</v>
      </c>
      <c r="E228" t="str" cm="1">
        <f t="array" ref="E228">_xlfn.IFS(IFERROR(FIND("M-3SII",B228),-1)&gt;0,"J_M3S2",IFERROR(FIND("M-V",B228),-1)&gt;0,"J_M5",IFERROR(FIND("M-4S",B228),-1)&gt;0,"J_M4S",IFERROR(FIND("M-3C",B228),-1)&gt;0,"J_M3C",IFERROR(FIND("M-3S",B228),-1)&gt;0,"J_M3S",IFERROR(FIND("M-3H",B228),-1)&gt;0,"J_M3H",IFERROR(FIND("H-IIA",B228),-1)&gt;0,"J_H2A",IFERROR(FIND("H-IIB",B228),-1)&gt;0,"J_H2B",IFERROR(FIND("H-II",B228),-1)&gt;0,"J_H2",IFERROR(FIND("H-I",B228),-1)&gt;0,"J_H1",IFERROR(FIND("N-II",B228),-1)&gt;0,"J_N2",IFERROR(FIND("N-I",B228),-1)&gt;0,"J_N1",IFERROR(FIND("イプシロン",B228),-1)&gt;0,"J_E",TRUE,"")</f>
        <v/>
      </c>
      <c r="G228" t="str">
        <f t="shared" si="10"/>
        <v/>
      </c>
    </row>
    <row r="229" spans="1:9" ht="27" x14ac:dyDescent="0.15">
      <c r="A229" s="1" t="s">
        <v>678</v>
      </c>
      <c r="B229" s="2" t="s">
        <v>188</v>
      </c>
      <c r="C229">
        <f t="shared" si="9"/>
        <v>123</v>
      </c>
      <c r="D229" t="s">
        <v>1180</v>
      </c>
      <c r="E229" t="str" cm="1">
        <f t="array" ref="E229">_xlfn.IFS(IFERROR(FIND("M-3SII",B229),-1)&gt;0,"J_M3S2",IFERROR(FIND("M-V",B229),-1)&gt;0,"J_M5",IFERROR(FIND("M-4S",B229),-1)&gt;0,"J_M4S",IFERROR(FIND("M-3C",B229),-1)&gt;0,"J_M3C",IFERROR(FIND("M-3S",B229),-1)&gt;0,"J_M3S",IFERROR(FIND("M-3H",B229),-1)&gt;0,"J_M3H",IFERROR(FIND("H-IIA",B229),-1)&gt;0,"J_H2A",IFERROR(FIND("H-IIB",B229),-1)&gt;0,"J_H2B",IFERROR(FIND("H-II",B229),-1)&gt;0,"J_H2",IFERROR(FIND("H-I",B229),-1)&gt;0,"J_H1",IFERROR(FIND("N-II",B229),-1)&gt;0,"J_N2",IFERROR(FIND("N-I",B229),-1)&gt;0,"J_N1",IFERROR(FIND("イプシロン",B229),-1)&gt;0,"J_E",TRUE,"")</f>
        <v/>
      </c>
      <c r="G229" t="str">
        <f t="shared" si="10"/>
        <v/>
      </c>
    </row>
    <row r="230" spans="1:9" ht="27" x14ac:dyDescent="0.15">
      <c r="A230" s="1" t="s">
        <v>679</v>
      </c>
      <c r="B230" s="2" t="s">
        <v>189</v>
      </c>
      <c r="C230">
        <f t="shared" si="9"/>
        <v>106</v>
      </c>
      <c r="D230" t="s">
        <v>1181</v>
      </c>
      <c r="E230" t="str" cm="1">
        <f t="array" ref="E230">_xlfn.IFS(IFERROR(FIND("M-3SII",B230),-1)&gt;0,"J_M3S2",IFERROR(FIND("M-V",B230),-1)&gt;0,"J_M5",IFERROR(FIND("M-4S",B230),-1)&gt;0,"J_M4S",IFERROR(FIND("M-3C",B230),-1)&gt;0,"J_M3C",IFERROR(FIND("M-3S",B230),-1)&gt;0,"J_M3S",IFERROR(FIND("M-3H",B230),-1)&gt;0,"J_M3H",IFERROR(FIND("H-IIA",B230),-1)&gt;0,"J_H2A",IFERROR(FIND("H-IIB",B230),-1)&gt;0,"J_H2B",IFERROR(FIND("H-II",B230),-1)&gt;0,"J_H2",IFERROR(FIND("H-I",B230),-1)&gt;0,"J_H1",IFERROR(FIND("N-II",B230),-1)&gt;0,"J_N2",IFERROR(FIND("N-I",B230),-1)&gt;0,"J_N1",IFERROR(FIND("イプシロン",B230),-1)&gt;0,"J_E",TRUE,"")</f>
        <v/>
      </c>
      <c r="G230" t="str">
        <f t="shared" si="10"/>
        <v/>
      </c>
    </row>
    <row r="231" spans="1:9" ht="27" x14ac:dyDescent="0.15">
      <c r="A231" s="1" t="s">
        <v>680</v>
      </c>
      <c r="B231" s="2" t="s">
        <v>190</v>
      </c>
      <c r="C231">
        <f t="shared" si="9"/>
        <v>101</v>
      </c>
      <c r="D231" t="s">
        <v>1182</v>
      </c>
      <c r="E231" t="str" cm="1">
        <f t="array" ref="E231">_xlfn.IFS(IFERROR(FIND("M-3SII",B231),-1)&gt;0,"J_M3S2",IFERROR(FIND("M-V",B231),-1)&gt;0,"J_M5",IFERROR(FIND("M-4S",B231),-1)&gt;0,"J_M4S",IFERROR(FIND("M-3C",B231),-1)&gt;0,"J_M3C",IFERROR(FIND("M-3S",B231),-1)&gt;0,"J_M3S",IFERROR(FIND("M-3H",B231),-1)&gt;0,"J_M3H",IFERROR(FIND("H-IIA",B231),-1)&gt;0,"J_H2A",IFERROR(FIND("H-IIB",B231),-1)&gt;0,"J_H2B",IFERROR(FIND("H-II",B231),-1)&gt;0,"J_H2",IFERROR(FIND("H-I",B231),-1)&gt;0,"J_H1",IFERROR(FIND("N-II",B231),-1)&gt;0,"J_N2",IFERROR(FIND("N-I",B231),-1)&gt;0,"J_N1",IFERROR(FIND("イプシロン",B231),-1)&gt;0,"J_E",TRUE,"")</f>
        <v/>
      </c>
      <c r="G231" t="str">
        <f t="shared" si="10"/>
        <v/>
      </c>
    </row>
    <row r="232" spans="1:9" ht="27" x14ac:dyDescent="0.15">
      <c r="A232" s="1" t="s">
        <v>681</v>
      </c>
      <c r="B232" s="2" t="s">
        <v>191</v>
      </c>
      <c r="C232">
        <f t="shared" si="9"/>
        <v>110</v>
      </c>
      <c r="D232" t="s">
        <v>1183</v>
      </c>
      <c r="E232" t="str" cm="1">
        <f t="array" ref="E232">_xlfn.IFS(IFERROR(FIND("M-3SII",B232),-1)&gt;0,"J_M3S2",IFERROR(FIND("M-V",B232),-1)&gt;0,"J_M5",IFERROR(FIND("M-4S",B232),-1)&gt;0,"J_M4S",IFERROR(FIND("M-3C",B232),-1)&gt;0,"J_M3C",IFERROR(FIND("M-3S",B232),-1)&gt;0,"J_M3S",IFERROR(FIND("M-3H",B232),-1)&gt;0,"J_M3H",IFERROR(FIND("H-IIA",B232),-1)&gt;0,"J_H2A",IFERROR(FIND("H-IIB",B232),-1)&gt;0,"J_H2B",IFERROR(FIND("H-II",B232),-1)&gt;0,"J_H2",IFERROR(FIND("H-I",B232),-1)&gt;0,"J_H1",IFERROR(FIND("N-II",B232),-1)&gt;0,"J_N2",IFERROR(FIND("N-I",B232),-1)&gt;0,"J_N1",IFERROR(FIND("イプシロン",B232),-1)&gt;0,"J_E",TRUE,"")</f>
        <v/>
      </c>
      <c r="G232" t="str">
        <f t="shared" si="10"/>
        <v/>
      </c>
    </row>
    <row r="233" spans="1:9" ht="40.5" x14ac:dyDescent="0.15">
      <c r="A233" s="1" t="s">
        <v>682</v>
      </c>
      <c r="B233" s="2" t="s">
        <v>1900</v>
      </c>
      <c r="C233">
        <f t="shared" si="9"/>
        <v>138</v>
      </c>
      <c r="D233" t="s">
        <v>1184</v>
      </c>
      <c r="E233" t="s">
        <v>1590</v>
      </c>
      <c r="F233">
        <v>17</v>
      </c>
      <c r="G233" t="str">
        <f t="shared" si="10"/>
        <v>J_H2A_17</v>
      </c>
      <c r="H233">
        <v>20251222</v>
      </c>
      <c r="I233" t="s">
        <v>1004</v>
      </c>
    </row>
    <row r="234" spans="1:9" ht="27" x14ac:dyDescent="0.15">
      <c r="A234" s="1" t="s">
        <v>683</v>
      </c>
      <c r="B234" s="2" t="s">
        <v>192</v>
      </c>
      <c r="C234">
        <f t="shared" si="9"/>
        <v>83</v>
      </c>
      <c r="D234" t="s">
        <v>1489</v>
      </c>
      <c r="E234" t="str" cm="1">
        <f t="array" ref="E234">_xlfn.IFS(IFERROR(FIND("M-3SII",B234),-1)&gt;0,"J_M3S2",IFERROR(FIND("M-V",B234),-1)&gt;0,"J_M5",IFERROR(FIND("M-4S",B234),-1)&gt;0,"J_M4S",IFERROR(FIND("M-3C",B234),-1)&gt;0,"J_M3C",IFERROR(FIND("M-3S",B234),-1)&gt;0,"J_M3S",IFERROR(FIND("M-3H",B234),-1)&gt;0,"J_M3H",IFERROR(FIND("H-IIA",B234),-1)&gt;0,"J_H2A",IFERROR(FIND("H-IIB",B234),-1)&gt;0,"J_H2B",IFERROR(FIND("H-II",B234),-1)&gt;0,"J_H2",IFERROR(FIND("H-I",B234),-1)&gt;0,"J_H1",IFERROR(FIND("N-II",B234),-1)&gt;0,"J_N2",IFERROR(FIND("N-I",B234),-1)&gt;0,"J_N1",IFERROR(FIND("イプシロン",B234),-1)&gt;0,"J_E",TRUE,"")</f>
        <v>J_H2A</v>
      </c>
      <c r="F234">
        <v>17</v>
      </c>
      <c r="G234" t="str">
        <f t="shared" si="10"/>
        <v>J_H2A_17</v>
      </c>
    </row>
    <row r="235" spans="1:9" ht="27" x14ac:dyDescent="0.15">
      <c r="A235" s="1" t="s">
        <v>684</v>
      </c>
      <c r="B235" s="2" t="s">
        <v>193</v>
      </c>
      <c r="C235">
        <f t="shared" si="9"/>
        <v>105</v>
      </c>
      <c r="D235" t="s">
        <v>1490</v>
      </c>
      <c r="E235" t="str" cm="1">
        <f t="array" ref="E235">_xlfn.IFS(IFERROR(FIND("M-3SII",B235),-1)&gt;0,"J_M3S2",IFERROR(FIND("M-V",B235),-1)&gt;0,"J_M5",IFERROR(FIND("M-4S",B235),-1)&gt;0,"J_M4S",IFERROR(FIND("M-3C",B235),-1)&gt;0,"J_M3C",IFERROR(FIND("M-3S",B235),-1)&gt;0,"J_M3S",IFERROR(FIND("M-3H",B235),-1)&gt;0,"J_M3H",IFERROR(FIND("H-IIA",B235),-1)&gt;0,"J_H2A",IFERROR(FIND("H-IIB",B235),-1)&gt;0,"J_H2B",IFERROR(FIND("H-II",B235),-1)&gt;0,"J_H2",IFERROR(FIND("H-I",B235),-1)&gt;0,"J_H1",IFERROR(FIND("N-II",B235),-1)&gt;0,"J_N2",IFERROR(FIND("N-I",B235),-1)&gt;0,"J_N1",IFERROR(FIND("イプシロン",B235),-1)&gt;0,"J_E",TRUE,"")</f>
        <v>J_H2A</v>
      </c>
      <c r="F235">
        <v>17</v>
      </c>
      <c r="G235" t="str">
        <f t="shared" si="10"/>
        <v>J_H2A_17</v>
      </c>
    </row>
    <row r="236" spans="1:9" x14ac:dyDescent="0.15">
      <c r="A236" s="1" t="s">
        <v>685</v>
      </c>
      <c r="B236" s="2" t="s">
        <v>194</v>
      </c>
      <c r="C236">
        <f t="shared" si="9"/>
        <v>42</v>
      </c>
      <c r="D236" t="s">
        <v>1491</v>
      </c>
      <c r="E236" t="str" cm="1">
        <f t="array" ref="E236">_xlfn.IFS(IFERROR(FIND("M-3SII",B236),-1)&gt;0,"J_M3S2",IFERROR(FIND("M-V",B236),-1)&gt;0,"J_M5",IFERROR(FIND("M-4S",B236),-1)&gt;0,"J_M4S",IFERROR(FIND("M-3C",B236),-1)&gt;0,"J_M3C",IFERROR(FIND("M-3S",B236),-1)&gt;0,"J_M3S",IFERROR(FIND("M-3H",B236),-1)&gt;0,"J_M3H",IFERROR(FIND("H-IIA",B236),-1)&gt;0,"J_H2A",IFERROR(FIND("H-IIB",B236),-1)&gt;0,"J_H2B",IFERROR(FIND("H-II",B236),-1)&gt;0,"J_H2",IFERROR(FIND("H-I",B236),-1)&gt;0,"J_H1",IFERROR(FIND("N-II",B236),-1)&gt;0,"J_N2",IFERROR(FIND("N-I",B236),-1)&gt;0,"J_N1",IFERROR(FIND("イプシロン",B236),-1)&gt;0,"J_E",TRUE,"")</f>
        <v>J_H2A</v>
      </c>
      <c r="F236">
        <v>17</v>
      </c>
      <c r="G236" t="str">
        <f t="shared" si="10"/>
        <v>J_H2A_17</v>
      </c>
    </row>
    <row r="237" spans="1:9" ht="27" x14ac:dyDescent="0.15">
      <c r="A237" s="1" t="s">
        <v>686</v>
      </c>
      <c r="B237" s="2" t="s">
        <v>1901</v>
      </c>
      <c r="C237">
        <f t="shared" si="9"/>
        <v>101</v>
      </c>
      <c r="D237" t="s">
        <v>1492</v>
      </c>
      <c r="E237" t="str" cm="1">
        <f t="array" ref="E237">_xlfn.IFS(IFERROR(FIND("M-3SII",B237),-1)&gt;0,"J_M3S2",IFERROR(FIND("M-V",B237),-1)&gt;0,"J_M5",IFERROR(FIND("M-4S",B237),-1)&gt;0,"J_M4S",IFERROR(FIND("M-3C",B237),-1)&gt;0,"J_M3C",IFERROR(FIND("M-3S",B237),-1)&gt;0,"J_M3S",IFERROR(FIND("M-3H",B237),-1)&gt;0,"J_M3H",IFERROR(FIND("H-IIA",B237),-1)&gt;0,"J_H2A",IFERROR(FIND("H-IIB",B237),-1)&gt;0,"J_H2B",IFERROR(FIND("H-II",B237),-1)&gt;0,"J_H2",IFERROR(FIND("H-I",B237),-1)&gt;0,"J_H1",IFERROR(FIND("N-II",B237),-1)&gt;0,"J_N2",IFERROR(FIND("N-I",B237),-1)&gt;0,"J_N1",IFERROR(FIND("イプシロン",B237),-1)&gt;0,"J_E",TRUE,"")</f>
        <v>J_H2A</v>
      </c>
      <c r="F237">
        <v>17</v>
      </c>
      <c r="G237" t="str">
        <f t="shared" si="10"/>
        <v>J_H2A_17</v>
      </c>
      <c r="H237">
        <v>20251222</v>
      </c>
      <c r="I237" t="s">
        <v>1004</v>
      </c>
    </row>
    <row r="238" spans="1:9" ht="40.5" x14ac:dyDescent="0.15">
      <c r="A238" s="1" t="s">
        <v>687</v>
      </c>
      <c r="B238" s="2" t="s">
        <v>195</v>
      </c>
      <c r="C238">
        <f t="shared" si="9"/>
        <v>138</v>
      </c>
      <c r="D238" t="s">
        <v>1493</v>
      </c>
      <c r="E238" t="str" cm="1">
        <f t="array" ref="E238">_xlfn.IFS(IFERROR(FIND("M-3SII",B238),-1)&gt;0,"J_M3S2",IFERROR(FIND("M-V",B238),-1)&gt;0,"J_M5",IFERROR(FIND("M-4S",B238),-1)&gt;0,"J_M4S",IFERROR(FIND("M-3C",B238),-1)&gt;0,"J_M3C",IFERROR(FIND("M-3S",B238),-1)&gt;0,"J_M3S",IFERROR(FIND("M-3H",B238),-1)&gt;0,"J_M3H",IFERROR(FIND("H-IIA",B238),-1)&gt;0,"J_H2A",IFERROR(FIND("H-IIB",B238),-1)&gt;0,"J_H2B",IFERROR(FIND("H-II",B238),-1)&gt;0,"J_H2",IFERROR(FIND("H-I",B238),-1)&gt;0,"J_H1",IFERROR(FIND("N-II",B238),-1)&gt;0,"J_N2",IFERROR(FIND("N-I",B238),-1)&gt;0,"J_N1",IFERROR(FIND("イプシロン",B238),-1)&gt;0,"J_E",TRUE,"")</f>
        <v>J_H2A</v>
      </c>
      <c r="F238">
        <v>17</v>
      </c>
      <c r="G238" t="str">
        <f t="shared" si="10"/>
        <v>J_H2A_17</v>
      </c>
    </row>
    <row r="239" spans="1:9" ht="27" x14ac:dyDescent="0.15">
      <c r="A239" s="1" t="s">
        <v>1038</v>
      </c>
      <c r="B239" s="2" t="s">
        <v>1040</v>
      </c>
      <c r="C239">
        <f t="shared" si="9"/>
        <v>115</v>
      </c>
      <c r="D239" t="s">
        <v>1487</v>
      </c>
      <c r="E239" t="str" cm="1">
        <f t="array" ref="E239">_xlfn.IFS(IFERROR(FIND("M-3SII",B239),-1)&gt;0,"J_M3S2",IFERROR(FIND("M-V",B239),-1)&gt;0,"J_M5",IFERROR(FIND("M-4S",B239),-1)&gt;0,"J_M4S",IFERROR(FIND("M-3C",B239),-1)&gt;0,"J_M3C",IFERROR(FIND("M-3S",B239),-1)&gt;0,"J_M3S",IFERROR(FIND("M-3H",B239),-1)&gt;0,"J_M3H",IFERROR(FIND("H-IIA",B239),-1)&gt;0,"J_H2A",IFERROR(FIND("H-IIB",B239),-1)&gt;0,"J_H2B",IFERROR(FIND("H-II",B239),-1)&gt;0,"J_H2",IFERROR(FIND("H-I",B239),-1)&gt;0,"J_H1",IFERROR(FIND("N-II",B239),-1)&gt;0,"J_N2",IFERROR(FIND("N-I",B239),-1)&gt;0,"J_N1",IFERROR(FIND("イプシロン",B239),-1)&gt;0,"J_E",TRUE,"")</f>
        <v>J_H2B</v>
      </c>
      <c r="F239">
        <v>9</v>
      </c>
      <c r="G239" t="str">
        <f t="shared" si="10"/>
        <v>J_H2B_9</v>
      </c>
      <c r="H239">
        <v>20230521</v>
      </c>
      <c r="I239" t="s">
        <v>1016</v>
      </c>
    </row>
    <row r="240" spans="1:9" ht="27" x14ac:dyDescent="0.15">
      <c r="A240" s="1" t="s">
        <v>1037</v>
      </c>
      <c r="B240" s="2" t="s">
        <v>1847</v>
      </c>
      <c r="C240">
        <f t="shared" si="9"/>
        <v>126</v>
      </c>
      <c r="D240" t="s">
        <v>1488</v>
      </c>
      <c r="E240" t="str" cm="1">
        <f t="array" ref="E240">_xlfn.IFS(IFERROR(FIND("M-3SII",B240),-1)&gt;0,"J_M3S2",IFERROR(FIND("M-V",B240),-1)&gt;0,"J_M5",IFERROR(FIND("M-4S",B240),-1)&gt;0,"J_M4S",IFERROR(FIND("M-3C",B240),-1)&gt;0,"J_M3C",IFERROR(FIND("M-3S",B240),-1)&gt;0,"J_M3S",IFERROR(FIND("M-3H",B240),-1)&gt;0,"J_M3H",IFERROR(FIND("H-IIA",B240),-1)&gt;0,"J_H2A",IFERROR(FIND("H-IIB",B240),-1)&gt;0,"J_H2B",IFERROR(FIND("H-II",B240),-1)&gt;0,"J_H2",IFERROR(FIND("H-I",B240),-1)&gt;0,"J_H1",IFERROR(FIND("N-II",B240),-1)&gt;0,"J_N2",IFERROR(FIND("N-I",B240),-1)&gt;0,"J_N1",IFERROR(FIND("イプシロン",B240),-1)&gt;0,"J_E",TRUE,"")</f>
        <v>J_H2B</v>
      </c>
      <c r="F240">
        <v>9</v>
      </c>
      <c r="G240" t="str">
        <f t="shared" si="10"/>
        <v>J_H2B_9</v>
      </c>
      <c r="H240">
        <v>20230521</v>
      </c>
      <c r="I240" t="s">
        <v>1016</v>
      </c>
    </row>
    <row r="241" spans="1:7" ht="27" x14ac:dyDescent="0.15">
      <c r="A241" s="1" t="s">
        <v>688</v>
      </c>
      <c r="B241" s="2" t="s">
        <v>196</v>
      </c>
      <c r="C241">
        <f t="shared" si="9"/>
        <v>88</v>
      </c>
      <c r="D241" t="s">
        <v>1185</v>
      </c>
      <c r="E241" t="str" cm="1">
        <f t="array" ref="E241">_xlfn.IFS(IFERROR(FIND("M-3SII",B241),-1)&gt;0,"J_M3S2",IFERROR(FIND("M-V",B241),-1)&gt;0,"J_M5",IFERROR(FIND("M-4S",B241),-1)&gt;0,"J_M4S",IFERROR(FIND("M-3C",B241),-1)&gt;0,"J_M3C",IFERROR(FIND("M-3S",B241),-1)&gt;0,"J_M3S",IFERROR(FIND("M-3H",B241),-1)&gt;0,"J_M3H",IFERROR(FIND("H-IIA",B241),-1)&gt;0,"J_H2A",IFERROR(FIND("H-IIB",B241),-1)&gt;0,"J_H2B",IFERROR(FIND("H-II",B241),-1)&gt;0,"J_H2",IFERROR(FIND("H-I",B241),-1)&gt;0,"J_H1",IFERROR(FIND("N-II",B241),-1)&gt;0,"J_N2",IFERROR(FIND("N-I",B241),-1)&gt;0,"J_N1",IFERROR(FIND("イプシロン",B241),-1)&gt;0,"J_E",TRUE,"")</f>
        <v/>
      </c>
      <c r="G241" t="str">
        <f t="shared" si="10"/>
        <v/>
      </c>
    </row>
    <row r="242" spans="1:7" ht="27" x14ac:dyDescent="0.15">
      <c r="A242" s="1" t="s">
        <v>689</v>
      </c>
      <c r="B242" s="2" t="s">
        <v>197</v>
      </c>
      <c r="C242">
        <f t="shared" si="9"/>
        <v>102</v>
      </c>
      <c r="D242" t="s">
        <v>1186</v>
      </c>
      <c r="E242" t="str" cm="1">
        <f t="array" ref="E242">_xlfn.IFS(IFERROR(FIND("M-3SII",B242),-1)&gt;0,"J_M3S2",IFERROR(FIND("M-V",B242),-1)&gt;0,"J_M5",IFERROR(FIND("M-4S",B242),-1)&gt;0,"J_M4S",IFERROR(FIND("M-3C",B242),-1)&gt;0,"J_M3C",IFERROR(FIND("M-3S",B242),-1)&gt;0,"J_M3S",IFERROR(FIND("M-3H",B242),-1)&gt;0,"J_M3H",IFERROR(FIND("H-IIA",B242),-1)&gt;0,"J_H2A",IFERROR(FIND("H-IIB",B242),-1)&gt;0,"J_H2B",IFERROR(FIND("H-II",B242),-1)&gt;0,"J_H2",IFERROR(FIND("H-I",B242),-1)&gt;0,"J_H1",IFERROR(FIND("N-II",B242),-1)&gt;0,"J_N2",IFERROR(FIND("N-I",B242),-1)&gt;0,"J_N1",IFERROR(FIND("イプシロン",B242),-1)&gt;0,"J_E",TRUE,"")</f>
        <v/>
      </c>
      <c r="G242" t="str">
        <f t="shared" si="10"/>
        <v/>
      </c>
    </row>
    <row r="243" spans="1:7" ht="27" x14ac:dyDescent="0.15">
      <c r="A243" s="1" t="s">
        <v>690</v>
      </c>
      <c r="B243" s="2" t="s">
        <v>198</v>
      </c>
      <c r="C243">
        <f t="shared" si="9"/>
        <v>107</v>
      </c>
      <c r="D243" t="s">
        <v>1187</v>
      </c>
      <c r="E243" t="str" cm="1">
        <f t="array" ref="E243">_xlfn.IFS(IFERROR(FIND("M-3SII",B243),-1)&gt;0,"J_M3S2",IFERROR(FIND("M-V",B243),-1)&gt;0,"J_M5",IFERROR(FIND("M-4S",B243),-1)&gt;0,"J_M4S",IFERROR(FIND("M-3C",B243),-1)&gt;0,"J_M3C",IFERROR(FIND("M-3S",B243),-1)&gt;0,"J_M3S",IFERROR(FIND("M-3H",B243),-1)&gt;0,"J_M3H",IFERROR(FIND("H-IIA",B243),-1)&gt;0,"J_H2A",IFERROR(FIND("H-IIB",B243),-1)&gt;0,"J_H2B",IFERROR(FIND("H-II",B243),-1)&gt;0,"J_H2",IFERROR(FIND("H-I",B243),-1)&gt;0,"J_H1",IFERROR(FIND("N-II",B243),-1)&gt;0,"J_N2",IFERROR(FIND("N-I",B243),-1)&gt;0,"J_N1",IFERROR(FIND("イプシロン",B243),-1)&gt;0,"J_E",TRUE,"")</f>
        <v/>
      </c>
      <c r="G243" t="str">
        <f t="shared" si="10"/>
        <v/>
      </c>
    </row>
    <row r="244" spans="1:7" ht="27" x14ac:dyDescent="0.15">
      <c r="A244" s="1" t="s">
        <v>691</v>
      </c>
      <c r="B244" s="2" t="s">
        <v>199</v>
      </c>
      <c r="C244">
        <f t="shared" si="9"/>
        <v>109</v>
      </c>
      <c r="D244" t="s">
        <v>1188</v>
      </c>
      <c r="E244" t="str" cm="1">
        <f t="array" ref="E244">_xlfn.IFS(IFERROR(FIND("M-3SII",B244),-1)&gt;0,"J_M3S2",IFERROR(FIND("M-V",B244),-1)&gt;0,"J_M5",IFERROR(FIND("M-4S",B244),-1)&gt;0,"J_M4S",IFERROR(FIND("M-3C",B244),-1)&gt;0,"J_M3C",IFERROR(FIND("M-3S",B244),-1)&gt;0,"J_M3S",IFERROR(FIND("M-3H",B244),-1)&gt;0,"J_M3H",IFERROR(FIND("H-IIA",B244),-1)&gt;0,"J_H2A",IFERROR(FIND("H-IIB",B244),-1)&gt;0,"J_H2B",IFERROR(FIND("H-II",B244),-1)&gt;0,"J_H2",IFERROR(FIND("H-I",B244),-1)&gt;0,"J_H1",IFERROR(FIND("N-II",B244),-1)&gt;0,"J_N2",IFERROR(FIND("N-I",B244),-1)&gt;0,"J_N1",IFERROR(FIND("イプシロン",B244),-1)&gt;0,"J_E",TRUE,"")</f>
        <v/>
      </c>
      <c r="G244" t="str">
        <f t="shared" si="10"/>
        <v/>
      </c>
    </row>
    <row r="245" spans="1:7" ht="27" x14ac:dyDescent="0.15">
      <c r="A245" s="1" t="s">
        <v>692</v>
      </c>
      <c r="B245" s="2" t="s">
        <v>200</v>
      </c>
      <c r="C245">
        <f t="shared" si="9"/>
        <v>106</v>
      </c>
      <c r="D245" t="s">
        <v>1189</v>
      </c>
      <c r="E245" t="str" cm="1">
        <f t="array" ref="E245">_xlfn.IFS(IFERROR(FIND("M-3SII",B245),-1)&gt;0,"J_M3S2",IFERROR(FIND("M-V",B245),-1)&gt;0,"J_M5",IFERROR(FIND("M-4S",B245),-1)&gt;0,"J_M4S",IFERROR(FIND("M-3C",B245),-1)&gt;0,"J_M3C",IFERROR(FIND("M-3S",B245),-1)&gt;0,"J_M3S",IFERROR(FIND("M-3H",B245),-1)&gt;0,"J_M3H",IFERROR(FIND("H-IIA",B245),-1)&gt;0,"J_H2A",IFERROR(FIND("H-IIB",B245),-1)&gt;0,"J_H2B",IFERROR(FIND("H-II",B245),-1)&gt;0,"J_H2",IFERROR(FIND("H-I",B245),-1)&gt;0,"J_H1",IFERROR(FIND("N-II",B245),-1)&gt;0,"J_N2",IFERROR(FIND("N-I",B245),-1)&gt;0,"J_N1",IFERROR(FIND("イプシロン",B245),-1)&gt;0,"J_E",TRUE,"")</f>
        <v/>
      </c>
      <c r="G245" t="str">
        <f t="shared" si="10"/>
        <v/>
      </c>
    </row>
    <row r="246" spans="1:7" ht="27" x14ac:dyDescent="0.15">
      <c r="A246" s="1" t="s">
        <v>693</v>
      </c>
      <c r="B246" s="2" t="s">
        <v>201</v>
      </c>
      <c r="C246">
        <f t="shared" si="9"/>
        <v>106</v>
      </c>
      <c r="D246" t="s">
        <v>1190</v>
      </c>
      <c r="E246" t="str" cm="1">
        <f t="array" ref="E246">_xlfn.IFS(IFERROR(FIND("M-3SII",B246),-1)&gt;0,"J_M3S2",IFERROR(FIND("M-V",B246),-1)&gt;0,"J_M5",IFERROR(FIND("M-4S",B246),-1)&gt;0,"J_M4S",IFERROR(FIND("M-3C",B246),-1)&gt;0,"J_M3C",IFERROR(FIND("M-3S",B246),-1)&gt;0,"J_M3S",IFERROR(FIND("M-3H",B246),-1)&gt;0,"J_M3H",IFERROR(FIND("H-IIA",B246),-1)&gt;0,"J_H2A",IFERROR(FIND("H-IIB",B246),-1)&gt;0,"J_H2B",IFERROR(FIND("H-II",B246),-1)&gt;0,"J_H2",IFERROR(FIND("H-I",B246),-1)&gt;0,"J_H1",IFERROR(FIND("N-II",B246),-1)&gt;0,"J_N2",IFERROR(FIND("N-I",B246),-1)&gt;0,"J_N1",IFERROR(FIND("イプシロン",B246),-1)&gt;0,"J_E",TRUE,"")</f>
        <v/>
      </c>
      <c r="G246" t="str">
        <f t="shared" si="10"/>
        <v/>
      </c>
    </row>
    <row r="247" spans="1:7" ht="27" x14ac:dyDescent="0.15">
      <c r="A247" s="1" t="s">
        <v>694</v>
      </c>
      <c r="B247" s="2" t="s">
        <v>202</v>
      </c>
      <c r="C247">
        <f t="shared" si="9"/>
        <v>106</v>
      </c>
      <c r="D247" t="s">
        <v>1191</v>
      </c>
      <c r="E247" t="str" cm="1">
        <f t="array" ref="E247">_xlfn.IFS(IFERROR(FIND("M-3SII",B247),-1)&gt;0,"J_M3S2",IFERROR(FIND("M-V",B247),-1)&gt;0,"J_M5",IFERROR(FIND("M-4S",B247),-1)&gt;0,"J_M4S",IFERROR(FIND("M-3C",B247),-1)&gt;0,"J_M3C",IFERROR(FIND("M-3S",B247),-1)&gt;0,"J_M3S",IFERROR(FIND("M-3H",B247),-1)&gt;0,"J_M3H",IFERROR(FIND("H-IIA",B247),-1)&gt;0,"J_H2A",IFERROR(FIND("H-IIB",B247),-1)&gt;0,"J_H2B",IFERROR(FIND("H-II",B247),-1)&gt;0,"J_H2",IFERROR(FIND("H-I",B247),-1)&gt;0,"J_H1",IFERROR(FIND("N-II",B247),-1)&gt;0,"J_N2",IFERROR(FIND("N-I",B247),-1)&gt;0,"J_N1",IFERROR(FIND("イプシロン",B247),-1)&gt;0,"J_E",TRUE,"")</f>
        <v/>
      </c>
      <c r="G247" t="str">
        <f t="shared" si="10"/>
        <v/>
      </c>
    </row>
    <row r="248" spans="1:7" ht="27" x14ac:dyDescent="0.15">
      <c r="A248" s="1" t="s">
        <v>695</v>
      </c>
      <c r="B248" s="2" t="s">
        <v>203</v>
      </c>
      <c r="C248">
        <f t="shared" si="9"/>
        <v>101</v>
      </c>
      <c r="D248" t="s">
        <v>1192</v>
      </c>
      <c r="E248" t="str" cm="1">
        <f t="array" ref="E248">_xlfn.IFS(IFERROR(FIND("M-3SII",B248),-1)&gt;0,"J_M3S2",IFERROR(FIND("M-V",B248),-1)&gt;0,"J_M5",IFERROR(FIND("M-4S",B248),-1)&gt;0,"J_M4S",IFERROR(FIND("M-3C",B248),-1)&gt;0,"J_M3C",IFERROR(FIND("M-3S",B248),-1)&gt;0,"J_M3S",IFERROR(FIND("M-3H",B248),-1)&gt;0,"J_M3H",IFERROR(FIND("H-IIA",B248),-1)&gt;0,"J_H2A",IFERROR(FIND("H-IIB",B248),-1)&gt;0,"J_H2B",IFERROR(FIND("H-II",B248),-1)&gt;0,"J_H2",IFERROR(FIND("H-I",B248),-1)&gt;0,"J_H1",IFERROR(FIND("N-II",B248),-1)&gt;0,"J_N2",IFERROR(FIND("N-I",B248),-1)&gt;0,"J_N1",IFERROR(FIND("イプシロン",B248),-1)&gt;0,"J_E",TRUE,"")</f>
        <v/>
      </c>
      <c r="G248" t="str">
        <f t="shared" si="10"/>
        <v/>
      </c>
    </row>
    <row r="249" spans="1:7" ht="27" x14ac:dyDescent="0.15">
      <c r="A249" s="1" t="s">
        <v>696</v>
      </c>
      <c r="B249" s="2" t="s">
        <v>204</v>
      </c>
      <c r="C249">
        <f t="shared" si="9"/>
        <v>110</v>
      </c>
      <c r="D249" t="s">
        <v>1193</v>
      </c>
      <c r="E249" t="str" cm="1">
        <f t="array" ref="E249">_xlfn.IFS(IFERROR(FIND("M-3SII",B249),-1)&gt;0,"J_M3S2",IFERROR(FIND("M-V",B249),-1)&gt;0,"J_M5",IFERROR(FIND("M-4S",B249),-1)&gt;0,"J_M4S",IFERROR(FIND("M-3C",B249),-1)&gt;0,"J_M3C",IFERROR(FIND("M-3S",B249),-1)&gt;0,"J_M3S",IFERROR(FIND("M-3H",B249),-1)&gt;0,"J_M3H",IFERROR(FIND("H-IIA",B249),-1)&gt;0,"J_H2A",IFERROR(FIND("H-IIB",B249),-1)&gt;0,"J_H2B",IFERROR(FIND("H-II",B249),-1)&gt;0,"J_H2",IFERROR(FIND("H-I",B249),-1)&gt;0,"J_H1",IFERROR(FIND("N-II",B249),-1)&gt;0,"J_N2",IFERROR(FIND("N-I",B249),-1)&gt;0,"J_N1",IFERROR(FIND("イプシロン",B249),-1)&gt;0,"J_E",TRUE,"")</f>
        <v/>
      </c>
      <c r="G249" t="str">
        <f t="shared" si="10"/>
        <v/>
      </c>
    </row>
    <row r="250" spans="1:7" x14ac:dyDescent="0.15">
      <c r="A250" s="1" t="s">
        <v>697</v>
      </c>
      <c r="B250" s="2" t="s">
        <v>205</v>
      </c>
      <c r="C250">
        <f t="shared" si="9"/>
        <v>60</v>
      </c>
      <c r="D250" t="s">
        <v>1194</v>
      </c>
      <c r="E250" t="str" cm="1">
        <f t="array" ref="E250">_xlfn.IFS(IFERROR(FIND("M-3SII",B250),-1)&gt;0,"J_M3S2",IFERROR(FIND("M-V",B250),-1)&gt;0,"J_M5",IFERROR(FIND("M-4S",B250),-1)&gt;0,"J_M4S",IFERROR(FIND("M-3C",B250),-1)&gt;0,"J_M3C",IFERROR(FIND("M-3S",B250),-1)&gt;0,"J_M3S",IFERROR(FIND("M-3H",B250),-1)&gt;0,"J_M3H",IFERROR(FIND("H-IIA",B250),-1)&gt;0,"J_H2A",IFERROR(FIND("H-IIB",B250),-1)&gt;0,"J_H2B",IFERROR(FIND("H-II",B250),-1)&gt;0,"J_H2",IFERROR(FIND("H-I",B250),-1)&gt;0,"J_H1",IFERROR(FIND("N-II",B250),-1)&gt;0,"J_N2",IFERROR(FIND("N-I",B250),-1)&gt;0,"J_N1",IFERROR(FIND("イプシロン",B250),-1)&gt;0,"J_E",TRUE,"")</f>
        <v/>
      </c>
      <c r="G250" t="str">
        <f t="shared" si="10"/>
        <v/>
      </c>
    </row>
    <row r="251" spans="1:7" ht="27" x14ac:dyDescent="0.15">
      <c r="A251" s="1" t="s">
        <v>698</v>
      </c>
      <c r="B251" s="2" t="s">
        <v>206</v>
      </c>
      <c r="C251">
        <f t="shared" si="9"/>
        <v>92</v>
      </c>
      <c r="D251" t="s">
        <v>1494</v>
      </c>
      <c r="E251" t="str" cm="1">
        <f t="array" ref="E251">_xlfn.IFS(IFERROR(FIND("M-3SII",B251),-1)&gt;0,"J_M3S2",IFERROR(FIND("M-V",B251),-1)&gt;0,"J_M5",IFERROR(FIND("M-4S",B251),-1)&gt;0,"J_M4S",IFERROR(FIND("M-3C",B251),-1)&gt;0,"J_M3C",IFERROR(FIND("M-3S",B251),-1)&gt;0,"J_M3S",IFERROR(FIND("M-3H",B251),-1)&gt;0,"J_M3H",IFERROR(FIND("H-IIA",B251),-1)&gt;0,"J_H2A",IFERROR(FIND("H-IIB",B251),-1)&gt;0,"J_H2B",IFERROR(FIND("H-II",B251),-1)&gt;0,"J_H2",IFERROR(FIND("H-I",B251),-1)&gt;0,"J_H1",IFERROR(FIND("N-II",B251),-1)&gt;0,"J_N2",IFERROR(FIND("N-I",B251),-1)&gt;0,"J_N1",IFERROR(FIND("イプシロン",B251),-1)&gt;0,"J_E",TRUE,"")</f>
        <v/>
      </c>
      <c r="G251" t="str">
        <f t="shared" si="10"/>
        <v/>
      </c>
    </row>
    <row r="252" spans="1:7" ht="27" x14ac:dyDescent="0.15">
      <c r="A252" s="1" t="s">
        <v>700</v>
      </c>
      <c r="B252" s="2" t="s">
        <v>208</v>
      </c>
      <c r="C252">
        <f t="shared" si="9"/>
        <v>101</v>
      </c>
      <c r="D252" t="s">
        <v>1196</v>
      </c>
      <c r="E252" t="str" cm="1">
        <f t="array" ref="E252">_xlfn.IFS(IFERROR(FIND("M-3SII",B252),-1)&gt;0,"J_M3S2",IFERROR(FIND("M-V",B252),-1)&gt;0,"J_M5",IFERROR(FIND("M-4S",B252),-1)&gt;0,"J_M4S",IFERROR(FIND("M-3C",B252),-1)&gt;0,"J_M3C",IFERROR(FIND("M-3S",B252),-1)&gt;0,"J_M3S",IFERROR(FIND("M-3H",B252),-1)&gt;0,"J_M3H",IFERROR(FIND("H-IIA",B252),-1)&gt;0,"J_H2A",IFERROR(FIND("H-IIB",B252),-1)&gt;0,"J_H2B",IFERROR(FIND("H-II",B252),-1)&gt;0,"J_H2",IFERROR(FIND("H-I",B252),-1)&gt;0,"J_H1",IFERROR(FIND("N-II",B252),-1)&gt;0,"J_N2",IFERROR(FIND("N-I",B252),-1)&gt;0,"J_N1",IFERROR(FIND("イプシロン",B252),-1)&gt;0,"J_E",TRUE,"")</f>
        <v/>
      </c>
      <c r="G252" t="str">
        <f t="shared" si="10"/>
        <v/>
      </c>
    </row>
    <row r="253" spans="1:7" ht="27" x14ac:dyDescent="0.15">
      <c r="A253" s="1" t="s">
        <v>699</v>
      </c>
      <c r="B253" s="2" t="s">
        <v>207</v>
      </c>
      <c r="C253">
        <f t="shared" si="9"/>
        <v>83</v>
      </c>
      <c r="D253" t="s">
        <v>1495</v>
      </c>
      <c r="E253" t="str" cm="1">
        <f t="array" ref="E253">_xlfn.IFS(IFERROR(FIND("M-3SII",B253),-1)&gt;0,"J_M3S2",IFERROR(FIND("M-V",B253),-1)&gt;0,"J_M5",IFERROR(FIND("M-4S",B253),-1)&gt;0,"J_M4S",IFERROR(FIND("M-3C",B253),-1)&gt;0,"J_M3C",IFERROR(FIND("M-3S",B253),-1)&gt;0,"J_M3S",IFERROR(FIND("M-3H",B253),-1)&gt;0,"J_M3H",IFERROR(FIND("H-IIA",B253),-1)&gt;0,"J_H2A",IFERROR(FIND("H-IIB",B253),-1)&gt;0,"J_H2B",IFERROR(FIND("H-II",B253),-1)&gt;0,"J_H2",IFERROR(FIND("H-I",B253),-1)&gt;0,"J_H1",IFERROR(FIND("N-II",B253),-1)&gt;0,"J_N2",IFERROR(FIND("N-I",B253),-1)&gt;0,"J_N1",IFERROR(FIND("イプシロン",B253),-1)&gt;0,"J_E",TRUE,"")</f>
        <v/>
      </c>
      <c r="G253" t="str">
        <f t="shared" si="10"/>
        <v/>
      </c>
    </row>
    <row r="254" spans="1:7" ht="27" x14ac:dyDescent="0.15">
      <c r="A254" s="1" t="s">
        <v>701</v>
      </c>
      <c r="B254" s="2" t="s">
        <v>209</v>
      </c>
      <c r="C254">
        <f t="shared" si="9"/>
        <v>79</v>
      </c>
      <c r="D254" t="s">
        <v>1195</v>
      </c>
      <c r="E254" t="str" cm="1">
        <f t="array" ref="E254">_xlfn.IFS(IFERROR(FIND("M-3SII",B254),-1)&gt;0,"J_M3S2",IFERROR(FIND("M-V",B254),-1)&gt;0,"J_M5",IFERROR(FIND("M-4S",B254),-1)&gt;0,"J_M4S",IFERROR(FIND("M-3C",B254),-1)&gt;0,"J_M3C",IFERROR(FIND("M-3S",B254),-1)&gt;0,"J_M3S",IFERROR(FIND("M-3H",B254),-1)&gt;0,"J_M3H",IFERROR(FIND("H-IIA",B254),-1)&gt;0,"J_H2A",IFERROR(FIND("H-IIB",B254),-1)&gt;0,"J_H2B",IFERROR(FIND("H-II",B254),-1)&gt;0,"J_H2",IFERROR(FIND("H-I",B254),-1)&gt;0,"J_H1",IFERROR(FIND("N-II",B254),-1)&gt;0,"J_N2",IFERROR(FIND("N-I",B254),-1)&gt;0,"J_N1",IFERROR(FIND("イプシロン",B254),-1)&gt;0,"J_E",TRUE,"")</f>
        <v/>
      </c>
      <c r="G254" t="str">
        <f t="shared" si="10"/>
        <v/>
      </c>
    </row>
    <row r="255" spans="1:7" ht="27" x14ac:dyDescent="0.15">
      <c r="A255" s="1" t="s">
        <v>702</v>
      </c>
      <c r="B255" s="2" t="s">
        <v>210</v>
      </c>
      <c r="C255">
        <f t="shared" si="9"/>
        <v>73</v>
      </c>
      <c r="D255" t="s">
        <v>1197</v>
      </c>
      <c r="E255" t="str" cm="1">
        <f t="array" ref="E255">_xlfn.IFS(IFERROR(FIND("M-3SII",B255),-1)&gt;0,"J_M3S2",IFERROR(FIND("M-V",B255),-1)&gt;0,"J_M5",IFERROR(FIND("M-4S",B255),-1)&gt;0,"J_M4S",IFERROR(FIND("M-3C",B255),-1)&gt;0,"J_M3C",IFERROR(FIND("M-3S",B255),-1)&gt;0,"J_M3S",IFERROR(FIND("M-3H",B255),-1)&gt;0,"J_M3H",IFERROR(FIND("H-IIA",B255),-1)&gt;0,"J_H2A",IFERROR(FIND("H-IIB",B255),-1)&gt;0,"J_H2B",IFERROR(FIND("H-II",B255),-1)&gt;0,"J_H2",IFERROR(FIND("H-I",B255),-1)&gt;0,"J_H1",IFERROR(FIND("N-II",B255),-1)&gt;0,"J_N2",IFERROR(FIND("N-I",B255),-1)&gt;0,"J_N1",IFERROR(FIND("イプシロン",B255),-1)&gt;0,"J_E",TRUE,"")</f>
        <v/>
      </c>
      <c r="G255" t="str">
        <f t="shared" si="10"/>
        <v/>
      </c>
    </row>
    <row r="256" spans="1:7" ht="27" x14ac:dyDescent="0.15">
      <c r="A256" s="1" t="s">
        <v>703</v>
      </c>
      <c r="B256" s="2" t="s">
        <v>211</v>
      </c>
      <c r="C256">
        <f t="shared" si="9"/>
        <v>92</v>
      </c>
      <c r="D256" t="s">
        <v>1496</v>
      </c>
      <c r="E256" t="str" cm="1">
        <f t="array" ref="E256">_xlfn.IFS(IFERROR(FIND("M-3SII",B256),-1)&gt;0,"J_M3S2",IFERROR(FIND("M-V",B256),-1)&gt;0,"J_M5",IFERROR(FIND("M-4S",B256),-1)&gt;0,"J_M4S",IFERROR(FIND("M-3C",B256),-1)&gt;0,"J_M3C",IFERROR(FIND("M-3S",B256),-1)&gt;0,"J_M3S",IFERROR(FIND("M-3H",B256),-1)&gt;0,"J_M3H",IFERROR(FIND("H-IIA",B256),-1)&gt;0,"J_H2A",IFERROR(FIND("H-IIB",B256),-1)&gt;0,"J_H2B",IFERROR(FIND("H-II",B256),-1)&gt;0,"J_H2",IFERROR(FIND("H-I",B256),-1)&gt;0,"J_H1",IFERROR(FIND("N-II",B256),-1)&gt;0,"J_N2",IFERROR(FIND("N-I",B256),-1)&gt;0,"J_N1",IFERROR(FIND("イプシロン",B256),-1)&gt;0,"J_E",TRUE,"")</f>
        <v/>
      </c>
      <c r="G256" t="str">
        <f t="shared" si="10"/>
        <v/>
      </c>
    </row>
    <row r="257" spans="1:9" ht="27" x14ac:dyDescent="0.15">
      <c r="A257" s="1" t="s">
        <v>704</v>
      </c>
      <c r="B257" s="2" t="s">
        <v>212</v>
      </c>
      <c r="C257">
        <f t="shared" si="9"/>
        <v>111</v>
      </c>
      <c r="D257" t="s">
        <v>1497</v>
      </c>
      <c r="E257" t="str" cm="1">
        <f t="array" ref="E257">_xlfn.IFS(IFERROR(FIND("M-3SII",B257),-1)&gt;0,"J_M3S2",IFERROR(FIND("M-V",B257),-1)&gt;0,"J_M5",IFERROR(FIND("M-4S",B257),-1)&gt;0,"J_M4S",IFERROR(FIND("M-3C",B257),-1)&gt;0,"J_M3C",IFERROR(FIND("M-3S",B257),-1)&gt;0,"J_M3S",IFERROR(FIND("M-3H",B257),-1)&gt;0,"J_M3H",IFERROR(FIND("H-IIA",B257),-1)&gt;0,"J_H2A",IFERROR(FIND("H-IIB",B257),-1)&gt;0,"J_H2B",IFERROR(FIND("H-II",B257),-1)&gt;0,"J_H2",IFERROR(FIND("H-I",B257),-1)&gt;0,"J_H1",IFERROR(FIND("N-II",B257),-1)&gt;0,"J_N2",IFERROR(FIND("N-I",B257),-1)&gt;0,"J_N1",IFERROR(FIND("イプシロン",B257),-1)&gt;0,"J_E",TRUE,"")</f>
        <v/>
      </c>
      <c r="G257" t="str">
        <f t="shared" si="10"/>
        <v/>
      </c>
    </row>
    <row r="258" spans="1:9" ht="27" x14ac:dyDescent="0.15">
      <c r="A258" s="1" t="s">
        <v>705</v>
      </c>
      <c r="B258" s="2" t="s">
        <v>213</v>
      </c>
      <c r="C258">
        <f t="shared" si="9"/>
        <v>96</v>
      </c>
      <c r="D258" t="s">
        <v>1198</v>
      </c>
      <c r="E258" t="str" cm="1">
        <f t="array" ref="E258">_xlfn.IFS(IFERROR(FIND("M-3SII",B258),-1)&gt;0,"J_M3S2",IFERROR(FIND("M-V",B258),-1)&gt;0,"J_M5",IFERROR(FIND("M-4S",B258),-1)&gt;0,"J_M4S",IFERROR(FIND("M-3C",B258),-1)&gt;0,"J_M3C",IFERROR(FIND("M-3S",B258),-1)&gt;0,"J_M3S",IFERROR(FIND("M-3H",B258),-1)&gt;0,"J_M3H",IFERROR(FIND("H-IIA",B258),-1)&gt;0,"J_H2A",IFERROR(FIND("H-IIB",B258),-1)&gt;0,"J_H2B",IFERROR(FIND("H-II",B258),-1)&gt;0,"J_H2",IFERROR(FIND("H-I",B258),-1)&gt;0,"J_H1",IFERROR(FIND("N-II",B258),-1)&gt;0,"J_N2",IFERROR(FIND("N-I",B258),-1)&gt;0,"J_N1",IFERROR(FIND("イプシロン",B258),-1)&gt;0,"J_E",TRUE,"")</f>
        <v/>
      </c>
      <c r="G258" t="str">
        <f t="shared" si="10"/>
        <v/>
      </c>
    </row>
    <row r="259" spans="1:9" ht="27" x14ac:dyDescent="0.15">
      <c r="A259" s="1" t="s">
        <v>706</v>
      </c>
      <c r="B259" s="2" t="s">
        <v>214</v>
      </c>
      <c r="C259">
        <f t="shared" si="9"/>
        <v>108</v>
      </c>
      <c r="D259" t="s">
        <v>1199</v>
      </c>
      <c r="E259" t="str" cm="1">
        <f t="array" ref="E259">_xlfn.IFS(IFERROR(FIND("M-3SII",B259),-1)&gt;0,"J_M3S2",IFERROR(FIND("M-V",B259),-1)&gt;0,"J_M5",IFERROR(FIND("M-4S",B259),-1)&gt;0,"J_M4S",IFERROR(FIND("M-3C",B259),-1)&gt;0,"J_M3C",IFERROR(FIND("M-3S",B259),-1)&gt;0,"J_M3S",IFERROR(FIND("M-3H",B259),-1)&gt;0,"J_M3H",IFERROR(FIND("H-IIA",B259),-1)&gt;0,"J_H2A",IFERROR(FIND("H-IIB",B259),-1)&gt;0,"J_H2B",IFERROR(FIND("H-II",B259),-1)&gt;0,"J_H2",IFERROR(FIND("H-I",B259),-1)&gt;0,"J_H1",IFERROR(FIND("N-II",B259),-1)&gt;0,"J_N2",IFERROR(FIND("N-I",B259),-1)&gt;0,"J_N1",IFERROR(FIND("イプシロン",B259),-1)&gt;0,"J_E",TRUE,"")</f>
        <v/>
      </c>
      <c r="G259" t="str">
        <f t="shared" si="10"/>
        <v/>
      </c>
    </row>
    <row r="260" spans="1:9" ht="27" x14ac:dyDescent="0.15">
      <c r="A260" s="1" t="s">
        <v>707</v>
      </c>
      <c r="B260" s="2" t="s">
        <v>215</v>
      </c>
      <c r="C260">
        <f t="shared" si="9"/>
        <v>94</v>
      </c>
      <c r="D260" t="s">
        <v>1200</v>
      </c>
      <c r="E260" t="str" cm="1">
        <f t="array" ref="E260">_xlfn.IFS(IFERROR(FIND("M-3SII",B260),-1)&gt;0,"J_M3S2",IFERROR(FIND("M-V",B260),-1)&gt;0,"J_M5",IFERROR(FIND("M-4S",B260),-1)&gt;0,"J_M4S",IFERROR(FIND("M-3C",B260),-1)&gt;0,"J_M3C",IFERROR(FIND("M-3S",B260),-1)&gt;0,"J_M3S",IFERROR(FIND("M-3H",B260),-1)&gt;0,"J_M3H",IFERROR(FIND("H-IIA",B260),-1)&gt;0,"J_H2A",IFERROR(FIND("H-IIB",B260),-1)&gt;0,"J_H2B",IFERROR(FIND("H-II",B260),-1)&gt;0,"J_H2",IFERROR(FIND("H-I",B260),-1)&gt;0,"J_H1",IFERROR(FIND("N-II",B260),-1)&gt;0,"J_N2",IFERROR(FIND("N-I",B260),-1)&gt;0,"J_N1",IFERROR(FIND("イプシロン",B260),-1)&gt;0,"J_E",TRUE,"")</f>
        <v/>
      </c>
      <c r="G260" t="str">
        <f t="shared" si="10"/>
        <v/>
      </c>
    </row>
    <row r="261" spans="1:9" ht="27" x14ac:dyDescent="0.15">
      <c r="A261" s="1" t="s">
        <v>708</v>
      </c>
      <c r="B261" s="2" t="s">
        <v>216</v>
      </c>
      <c r="C261">
        <f t="shared" si="9"/>
        <v>110</v>
      </c>
      <c r="D261" t="s">
        <v>1201</v>
      </c>
      <c r="E261" t="str" cm="1">
        <f t="array" ref="E261">_xlfn.IFS(IFERROR(FIND("M-3SII",B261),-1)&gt;0,"J_M3S2",IFERROR(FIND("M-V",B261),-1)&gt;0,"J_M5",IFERROR(FIND("M-4S",B261),-1)&gt;0,"J_M4S",IFERROR(FIND("M-3C",B261),-1)&gt;0,"J_M3C",IFERROR(FIND("M-3S",B261),-1)&gt;0,"J_M3S",IFERROR(FIND("M-3H",B261),-1)&gt;0,"J_M3H",IFERROR(FIND("H-IIA",B261),-1)&gt;0,"J_H2A",IFERROR(FIND("H-IIB",B261),-1)&gt;0,"J_H2B",IFERROR(FIND("H-II",B261),-1)&gt;0,"J_H2",IFERROR(FIND("H-I",B261),-1)&gt;0,"J_H1",IFERROR(FIND("N-II",B261),-1)&gt;0,"J_N2",IFERROR(FIND("N-I",B261),-1)&gt;0,"J_N1",IFERROR(FIND("イプシロン",B261),-1)&gt;0,"J_E",TRUE,"")</f>
        <v/>
      </c>
      <c r="G261" t="str">
        <f t="shared" si="10"/>
        <v/>
      </c>
    </row>
    <row r="262" spans="1:9" ht="27" x14ac:dyDescent="0.15">
      <c r="A262" s="1" t="s">
        <v>709</v>
      </c>
      <c r="B262" s="2" t="s">
        <v>217</v>
      </c>
      <c r="C262">
        <f t="shared" si="9"/>
        <v>75</v>
      </c>
      <c r="D262" t="s">
        <v>1202</v>
      </c>
      <c r="E262" t="str" cm="1">
        <f t="array" ref="E262">_xlfn.IFS(IFERROR(FIND("M-3SII",B262),-1)&gt;0,"J_M3S2",IFERROR(FIND("M-V",B262),-1)&gt;0,"J_M5",IFERROR(FIND("M-4S",B262),-1)&gt;0,"J_M4S",IFERROR(FIND("M-3C",B262),-1)&gt;0,"J_M3C",IFERROR(FIND("M-3S",B262),-1)&gt;0,"J_M3S",IFERROR(FIND("M-3H",B262),-1)&gt;0,"J_M3H",IFERROR(FIND("H-IIA",B262),-1)&gt;0,"J_H2A",IFERROR(FIND("H-IIB",B262),-1)&gt;0,"J_H2B",IFERROR(FIND("H-II",B262),-1)&gt;0,"J_H2",IFERROR(FIND("H-I",B262),-1)&gt;0,"J_H1",IFERROR(FIND("N-II",B262),-1)&gt;0,"J_N2",IFERROR(FIND("N-I",B262),-1)&gt;0,"J_N1",IFERROR(FIND("イプシロン",B262),-1)&gt;0,"J_E",TRUE,"")</f>
        <v/>
      </c>
      <c r="G262" t="str">
        <f t="shared" si="10"/>
        <v/>
      </c>
    </row>
    <row r="263" spans="1:9" ht="27" x14ac:dyDescent="0.15">
      <c r="A263" s="1" t="s">
        <v>710</v>
      </c>
      <c r="B263" s="2" t="s">
        <v>218</v>
      </c>
      <c r="C263">
        <f t="shared" si="9"/>
        <v>77</v>
      </c>
      <c r="D263" t="s">
        <v>1203</v>
      </c>
      <c r="E263" t="str" cm="1">
        <f t="array" ref="E263">_xlfn.IFS(IFERROR(FIND("M-3SII",B263),-1)&gt;0,"J_M3S2",IFERROR(FIND("M-V",B263),-1)&gt;0,"J_M5",IFERROR(FIND("M-4S",B263),-1)&gt;0,"J_M4S",IFERROR(FIND("M-3C",B263),-1)&gt;0,"J_M3C",IFERROR(FIND("M-3S",B263),-1)&gt;0,"J_M3S",IFERROR(FIND("M-3H",B263),-1)&gt;0,"J_M3H",IFERROR(FIND("H-IIA",B263),-1)&gt;0,"J_H2A",IFERROR(FIND("H-IIB",B263),-1)&gt;0,"J_H2B",IFERROR(FIND("H-II",B263),-1)&gt;0,"J_H2",IFERROR(FIND("H-I",B263),-1)&gt;0,"J_H1",IFERROR(FIND("N-II",B263),-1)&gt;0,"J_N2",IFERROR(FIND("N-I",B263),-1)&gt;0,"J_N1",IFERROR(FIND("イプシロン",B263),-1)&gt;0,"J_E",TRUE,"")</f>
        <v/>
      </c>
      <c r="G263" t="str">
        <f t="shared" si="10"/>
        <v/>
      </c>
    </row>
    <row r="264" spans="1:9" ht="27" x14ac:dyDescent="0.15">
      <c r="A264" s="1" t="s">
        <v>711</v>
      </c>
      <c r="B264" s="2" t="s">
        <v>219</v>
      </c>
      <c r="C264">
        <f t="shared" si="9"/>
        <v>84</v>
      </c>
      <c r="D264" t="s">
        <v>1498</v>
      </c>
      <c r="E264" t="str" cm="1">
        <f t="array" ref="E264">_xlfn.IFS(IFERROR(FIND("M-3SII",B264),-1)&gt;0,"J_M3S2",IFERROR(FIND("M-V",B264),-1)&gt;0,"J_M5",IFERROR(FIND("M-4S",B264),-1)&gt;0,"J_M4S",IFERROR(FIND("M-3C",B264),-1)&gt;0,"J_M3C",IFERROR(FIND("M-3S",B264),-1)&gt;0,"J_M3S",IFERROR(FIND("M-3H",B264),-1)&gt;0,"J_M3H",IFERROR(FIND("H-IIA",B264),-1)&gt;0,"J_H2A",IFERROR(FIND("H-IIB",B264),-1)&gt;0,"J_H2B",IFERROR(FIND("H-II",B264),-1)&gt;0,"J_H2",IFERROR(FIND("H-I",B264),-1)&gt;0,"J_H1",IFERROR(FIND("N-II",B264),-1)&gt;0,"J_N2",IFERROR(FIND("N-I",B264),-1)&gt;0,"J_N1",IFERROR(FIND("イプシロン",B264),-1)&gt;0,"J_E",TRUE,"")</f>
        <v/>
      </c>
      <c r="G264" t="str">
        <f t="shared" si="10"/>
        <v/>
      </c>
    </row>
    <row r="265" spans="1:9" ht="27" x14ac:dyDescent="0.15">
      <c r="A265" s="1" t="s">
        <v>712</v>
      </c>
      <c r="B265" s="2" t="s">
        <v>220</v>
      </c>
      <c r="C265">
        <f t="shared" si="9"/>
        <v>101</v>
      </c>
      <c r="D265" t="s">
        <v>1204</v>
      </c>
      <c r="E265" t="str" cm="1">
        <f t="array" ref="E265">_xlfn.IFS(IFERROR(FIND("M-3SII",B265),-1)&gt;0,"J_M3S2",IFERROR(FIND("M-V",B265),-1)&gt;0,"J_M5",IFERROR(FIND("M-4S",B265),-1)&gt;0,"J_M4S",IFERROR(FIND("M-3C",B265),-1)&gt;0,"J_M3C",IFERROR(FIND("M-3S",B265),-1)&gt;0,"J_M3S",IFERROR(FIND("M-3H",B265),-1)&gt;0,"J_M3H",IFERROR(FIND("H-IIA",B265),-1)&gt;0,"J_H2A",IFERROR(FIND("H-IIB",B265),-1)&gt;0,"J_H2B",IFERROR(FIND("H-II",B265),-1)&gt;0,"J_H2",IFERROR(FIND("H-I",B265),-1)&gt;0,"J_H1",IFERROR(FIND("N-II",B265),-1)&gt;0,"J_N2",IFERROR(FIND("N-I",B265),-1)&gt;0,"J_N1",IFERROR(FIND("イプシロン",B265),-1)&gt;0,"J_E",TRUE,"")</f>
        <v/>
      </c>
      <c r="G265" t="str">
        <f t="shared" si="10"/>
        <v/>
      </c>
    </row>
    <row r="266" spans="1:9" ht="27" x14ac:dyDescent="0.15">
      <c r="A266" s="1" t="s">
        <v>714</v>
      </c>
      <c r="B266" s="2" t="s">
        <v>221</v>
      </c>
      <c r="C266">
        <f t="shared" ref="C266:C333" si="11">LEN(B266)</f>
        <v>106</v>
      </c>
      <c r="D266" t="s">
        <v>1205</v>
      </c>
      <c r="E266" t="str" cm="1">
        <f t="array" ref="E266">_xlfn.IFS(IFERROR(FIND("M-3SII",B266),-1)&gt;0,"J_M3S2",IFERROR(FIND("M-V",B266),-1)&gt;0,"J_M5",IFERROR(FIND("M-4S",B266),-1)&gt;0,"J_M4S",IFERROR(FIND("M-3C",B266),-1)&gt;0,"J_M3C",IFERROR(FIND("M-3S",B266),-1)&gt;0,"J_M3S",IFERROR(FIND("M-3H",B266),-1)&gt;0,"J_M3H",IFERROR(FIND("H-IIA",B266),-1)&gt;0,"J_H2A",IFERROR(FIND("H-IIB",B266),-1)&gt;0,"J_H2B",IFERROR(FIND("H-II",B266),-1)&gt;0,"J_H2",IFERROR(FIND("H-I",B266),-1)&gt;0,"J_H1",IFERROR(FIND("N-II",B266),-1)&gt;0,"J_N2",IFERROR(FIND("N-I",B266),-1)&gt;0,"J_N1",IFERROR(FIND("イプシロン",B266),-1)&gt;0,"J_E",TRUE,"")</f>
        <v/>
      </c>
      <c r="G266" t="str">
        <f t="shared" si="10"/>
        <v/>
      </c>
    </row>
    <row r="267" spans="1:9" ht="27" x14ac:dyDescent="0.15">
      <c r="A267" s="1" t="s">
        <v>715</v>
      </c>
      <c r="B267" s="2" t="s">
        <v>222</v>
      </c>
      <c r="C267">
        <f t="shared" si="11"/>
        <v>102</v>
      </c>
      <c r="D267" t="s">
        <v>1206</v>
      </c>
      <c r="E267" t="str" cm="1">
        <f t="array" ref="E267">_xlfn.IFS(IFERROR(FIND("M-3SII",B267),-1)&gt;0,"J_M3S2",IFERROR(FIND("M-V",B267),-1)&gt;0,"J_M5",IFERROR(FIND("M-4S",B267),-1)&gt;0,"J_M4S",IFERROR(FIND("M-3C",B267),-1)&gt;0,"J_M3C",IFERROR(FIND("M-3S",B267),-1)&gt;0,"J_M3S",IFERROR(FIND("M-3H",B267),-1)&gt;0,"J_M3H",IFERROR(FIND("H-IIA",B267),-1)&gt;0,"J_H2A",IFERROR(FIND("H-IIB",B267),-1)&gt;0,"J_H2B",IFERROR(FIND("H-II",B267),-1)&gt;0,"J_H2",IFERROR(FIND("H-I",B267),-1)&gt;0,"J_H1",IFERROR(FIND("N-II",B267),-1)&gt;0,"J_N2",IFERROR(FIND("N-I",B267),-1)&gt;0,"J_N1",IFERROR(FIND("イプシロン",B267),-1)&gt;0,"J_E",TRUE,"")</f>
        <v/>
      </c>
      <c r="G267" t="str">
        <f t="shared" ref="G267:G334" si="12">IF(E267&lt;&gt;"",E267&amp;"_"&amp;F267,"")</f>
        <v/>
      </c>
    </row>
    <row r="268" spans="1:9" ht="27" x14ac:dyDescent="0.15">
      <c r="A268" s="1" t="s">
        <v>716</v>
      </c>
      <c r="B268" s="2" t="s">
        <v>223</v>
      </c>
      <c r="C268">
        <f t="shared" si="11"/>
        <v>110</v>
      </c>
      <c r="D268" t="s">
        <v>1207</v>
      </c>
      <c r="E268" t="str" cm="1">
        <f t="array" ref="E268">_xlfn.IFS(IFERROR(FIND("M-3SII",B268),-1)&gt;0,"J_M3S2",IFERROR(FIND("M-V",B268),-1)&gt;0,"J_M5",IFERROR(FIND("M-4S",B268),-1)&gt;0,"J_M4S",IFERROR(FIND("M-3C",B268),-1)&gt;0,"J_M3C",IFERROR(FIND("M-3S",B268),-1)&gt;0,"J_M3S",IFERROR(FIND("M-3H",B268),-1)&gt;0,"J_M3H",IFERROR(FIND("H-IIA",B268),-1)&gt;0,"J_H2A",IFERROR(FIND("H-IIB",B268),-1)&gt;0,"J_H2B",IFERROR(FIND("H-II",B268),-1)&gt;0,"J_H2",IFERROR(FIND("H-I",B268),-1)&gt;0,"J_H1",IFERROR(FIND("N-II",B268),-1)&gt;0,"J_N2",IFERROR(FIND("N-I",B268),-1)&gt;0,"J_N1",IFERROR(FIND("イプシロン",B268),-1)&gt;0,"J_E",TRUE,"")</f>
        <v/>
      </c>
      <c r="G268" t="str">
        <f t="shared" si="12"/>
        <v/>
      </c>
    </row>
    <row r="269" spans="1:9" ht="27" x14ac:dyDescent="0.15">
      <c r="A269" s="1" t="s">
        <v>717</v>
      </c>
      <c r="B269" s="2" t="s">
        <v>224</v>
      </c>
      <c r="C269">
        <f t="shared" si="11"/>
        <v>110</v>
      </c>
      <c r="D269" t="s">
        <v>1499</v>
      </c>
      <c r="E269" t="str" cm="1">
        <f t="array" ref="E269">_xlfn.IFS(IFERROR(FIND("M-3SII",B269),-1)&gt;0,"J_M3S2",IFERROR(FIND("M-V",B269),-1)&gt;0,"J_M5",IFERROR(FIND("M-4S",B269),-1)&gt;0,"J_M4S",IFERROR(FIND("M-3C",B269),-1)&gt;0,"J_M3C",IFERROR(FIND("M-3S",B269),-1)&gt;0,"J_M3S",IFERROR(FIND("M-3H",B269),-1)&gt;0,"J_M3H",IFERROR(FIND("H-IIA",B269),-1)&gt;0,"J_H2A",IFERROR(FIND("H-IIB",B269),-1)&gt;0,"J_H2B",IFERROR(FIND("H-II",B269),-1)&gt;0,"J_H2",IFERROR(FIND("H-I",B269),-1)&gt;0,"J_H1",IFERROR(FIND("N-II",B269),-1)&gt;0,"J_N2",IFERROR(FIND("N-I",B269),-1)&gt;0,"J_N1",IFERROR(FIND("イプシロン",B269),-1)&gt;0,"J_E",TRUE,"")</f>
        <v/>
      </c>
      <c r="G269" t="str">
        <f t="shared" si="12"/>
        <v/>
      </c>
    </row>
    <row r="270" spans="1:9" ht="40.5" x14ac:dyDescent="0.15">
      <c r="A270" s="1" t="s">
        <v>718</v>
      </c>
      <c r="B270" s="2" t="s">
        <v>999</v>
      </c>
      <c r="C270">
        <f t="shared" si="11"/>
        <v>136</v>
      </c>
      <c r="D270" t="s">
        <v>1500</v>
      </c>
      <c r="E270" t="str" cm="1">
        <f t="array" ref="E270">_xlfn.IFS(IFERROR(FIND("M-3SII",B270),-1)&gt;0,"J_M3S2",IFERROR(FIND("M-V",B270),-1)&gt;0,"J_M5",IFERROR(FIND("M-4S",B270),-1)&gt;0,"J_M4S",IFERROR(FIND("M-3C",B270),-1)&gt;0,"J_M3C",IFERROR(FIND("M-3S",B270),-1)&gt;0,"J_M3S",IFERROR(FIND("M-3H",B270),-1)&gt;0,"J_M3H",IFERROR(FIND("H-IIA",B270),-1)&gt;0,"J_H2A",IFERROR(FIND("H-IIB",B270),-1)&gt;0,"J_H2B",IFERROR(FIND("H-II",B270),-1)&gt;0,"J_H2",IFERROR(FIND("H-I",B270),-1)&gt;0,"J_H1",IFERROR(FIND("N-II",B270),-1)&gt;0,"J_N2",IFERROR(FIND("N-I",B270),-1)&gt;0,"J_N1",IFERROR(FIND("イプシロン",B270),-1)&gt;0,"J_E",TRUE,"")</f>
        <v/>
      </c>
      <c r="G270" t="str">
        <f t="shared" si="12"/>
        <v/>
      </c>
      <c r="H270">
        <v>20170515</v>
      </c>
      <c r="I270" t="s">
        <v>1004</v>
      </c>
    </row>
    <row r="271" spans="1:9" ht="27" x14ac:dyDescent="0.15">
      <c r="A271" s="1" t="s">
        <v>719</v>
      </c>
      <c r="B271" s="2" t="s">
        <v>225</v>
      </c>
      <c r="C271">
        <f t="shared" si="11"/>
        <v>110</v>
      </c>
      <c r="D271" t="s">
        <v>1208</v>
      </c>
      <c r="E271" t="str" cm="1">
        <f t="array" ref="E271">_xlfn.IFS(IFERROR(FIND("M-3SII",B271),-1)&gt;0,"J_M3S2",IFERROR(FIND("M-V",B271),-1)&gt;0,"J_M5",IFERROR(FIND("M-4S",B271),-1)&gt;0,"J_M4S",IFERROR(FIND("M-3C",B271),-1)&gt;0,"J_M3C",IFERROR(FIND("M-3S",B271),-1)&gt;0,"J_M3S",IFERROR(FIND("M-3H",B271),-1)&gt;0,"J_M3H",IFERROR(FIND("H-IIA",B271),-1)&gt;0,"J_H2A",IFERROR(FIND("H-IIB",B271),-1)&gt;0,"J_H2B",IFERROR(FIND("H-II",B271),-1)&gt;0,"J_H2",IFERROR(FIND("H-I",B271),-1)&gt;0,"J_H1",IFERROR(FIND("N-II",B271),-1)&gt;0,"J_N2",IFERROR(FIND("N-I",B271),-1)&gt;0,"J_N1",IFERROR(FIND("イプシロン",B271),-1)&gt;0,"J_E",TRUE,"")</f>
        <v/>
      </c>
      <c r="G271" t="str">
        <f t="shared" si="12"/>
        <v/>
      </c>
    </row>
    <row r="272" spans="1:9" ht="27" x14ac:dyDescent="0.15">
      <c r="A272" s="1" t="s">
        <v>724</v>
      </c>
      <c r="B272" s="2" t="s">
        <v>226</v>
      </c>
      <c r="C272">
        <f t="shared" si="11"/>
        <v>107</v>
      </c>
      <c r="D272" t="s">
        <v>1209</v>
      </c>
      <c r="E272" t="str" cm="1">
        <f t="array" ref="E272">_xlfn.IFS(IFERROR(FIND("M-3SII",B272),-1)&gt;0,"J_M3S2",IFERROR(FIND("M-V",B272),-1)&gt;0,"J_M5",IFERROR(FIND("M-4S",B272),-1)&gt;0,"J_M4S",IFERROR(FIND("M-3C",B272),-1)&gt;0,"J_M3C",IFERROR(FIND("M-3S",B272),-1)&gt;0,"J_M3S",IFERROR(FIND("M-3H",B272),-1)&gt;0,"J_M3H",IFERROR(FIND("H-IIA",B272),-1)&gt;0,"J_H2A",IFERROR(FIND("H-IIB",B272),-1)&gt;0,"J_H2B",IFERROR(FIND("H-II",B272),-1)&gt;0,"J_H2",IFERROR(FIND("H-I",B272),-1)&gt;0,"J_H1",IFERROR(FIND("N-II",B272),-1)&gt;0,"J_N2",IFERROR(FIND("N-I",B272),-1)&gt;0,"J_N1",IFERROR(FIND("イプシロン",B272),-1)&gt;0,"J_E",TRUE,"")</f>
        <v/>
      </c>
      <c r="G272" t="str">
        <f t="shared" si="12"/>
        <v/>
      </c>
    </row>
    <row r="273" spans="1:7" ht="27" x14ac:dyDescent="0.15">
      <c r="A273" s="1" t="s">
        <v>725</v>
      </c>
      <c r="B273" s="2" t="s">
        <v>227</v>
      </c>
      <c r="C273">
        <f t="shared" si="11"/>
        <v>103</v>
      </c>
      <c r="D273" t="s">
        <v>1210</v>
      </c>
      <c r="E273" t="str" cm="1">
        <f t="array" ref="E273">_xlfn.IFS(IFERROR(FIND("M-3SII",B273),-1)&gt;0,"J_M3S2",IFERROR(FIND("M-V",B273),-1)&gt;0,"J_M5",IFERROR(FIND("M-4S",B273),-1)&gt;0,"J_M4S",IFERROR(FIND("M-3C",B273),-1)&gt;0,"J_M3C",IFERROR(FIND("M-3S",B273),-1)&gt;0,"J_M3S",IFERROR(FIND("M-3H",B273),-1)&gt;0,"J_M3H",IFERROR(FIND("H-IIA",B273),-1)&gt;0,"J_H2A",IFERROR(FIND("H-IIB",B273),-1)&gt;0,"J_H2B",IFERROR(FIND("H-II",B273),-1)&gt;0,"J_H2",IFERROR(FIND("H-I",B273),-1)&gt;0,"J_H1",IFERROR(FIND("N-II",B273),-1)&gt;0,"J_N2",IFERROR(FIND("N-I",B273),-1)&gt;0,"J_N1",IFERROR(FIND("イプシロン",B273),-1)&gt;0,"J_E",TRUE,"")</f>
        <v/>
      </c>
      <c r="G273" t="str">
        <f t="shared" si="12"/>
        <v/>
      </c>
    </row>
    <row r="274" spans="1:7" ht="27" x14ac:dyDescent="0.15">
      <c r="A274" s="1" t="s">
        <v>726</v>
      </c>
      <c r="B274" s="2" t="s">
        <v>228</v>
      </c>
      <c r="C274">
        <f t="shared" si="11"/>
        <v>90</v>
      </c>
      <c r="D274" t="s">
        <v>1501</v>
      </c>
      <c r="E274" t="str" cm="1">
        <f t="array" ref="E274">_xlfn.IFS(IFERROR(FIND("M-3SII",B274),-1)&gt;0,"J_M3S2",IFERROR(FIND("M-V",B274),-1)&gt;0,"J_M5",IFERROR(FIND("M-4S",B274),-1)&gt;0,"J_M4S",IFERROR(FIND("M-3C",B274),-1)&gt;0,"J_M3C",IFERROR(FIND("M-3S",B274),-1)&gt;0,"J_M3S",IFERROR(FIND("M-3H",B274),-1)&gt;0,"J_M3H",IFERROR(FIND("H-IIA",B274),-1)&gt;0,"J_H2A",IFERROR(FIND("H-IIB",B274),-1)&gt;0,"J_H2B",IFERROR(FIND("H-II",B274),-1)&gt;0,"J_H2",IFERROR(FIND("H-I",B274),-1)&gt;0,"J_H1",IFERROR(FIND("N-II",B274),-1)&gt;0,"J_N2",IFERROR(FIND("N-I",B274),-1)&gt;0,"J_N1",IFERROR(FIND("イプシロン",B274),-1)&gt;0,"J_E",TRUE,"")</f>
        <v/>
      </c>
      <c r="G274" t="str">
        <f t="shared" si="12"/>
        <v/>
      </c>
    </row>
    <row r="275" spans="1:7" ht="27" x14ac:dyDescent="0.15">
      <c r="A275" s="1" t="s">
        <v>727</v>
      </c>
      <c r="B275" s="2" t="s">
        <v>229</v>
      </c>
      <c r="C275">
        <f t="shared" si="11"/>
        <v>106</v>
      </c>
      <c r="D275" t="s">
        <v>1211</v>
      </c>
      <c r="E275" t="str" cm="1">
        <f t="array" ref="E275">_xlfn.IFS(IFERROR(FIND("M-3SII",B275),-1)&gt;0,"J_M3S2",IFERROR(FIND("M-V",B275),-1)&gt;0,"J_M5",IFERROR(FIND("M-4S",B275),-1)&gt;0,"J_M4S",IFERROR(FIND("M-3C",B275),-1)&gt;0,"J_M3C",IFERROR(FIND("M-3S",B275),-1)&gt;0,"J_M3S",IFERROR(FIND("M-3H",B275),-1)&gt;0,"J_M3H",IFERROR(FIND("H-IIA",B275),-1)&gt;0,"J_H2A",IFERROR(FIND("H-IIB",B275),-1)&gt;0,"J_H2B",IFERROR(FIND("H-II",B275),-1)&gt;0,"J_H2",IFERROR(FIND("H-I",B275),-1)&gt;0,"J_H1",IFERROR(FIND("N-II",B275),-1)&gt;0,"J_N2",IFERROR(FIND("N-I",B275),-1)&gt;0,"J_N1",IFERROR(FIND("イプシロン",B275),-1)&gt;0,"J_E",TRUE,"")</f>
        <v/>
      </c>
      <c r="G275" t="str">
        <f t="shared" si="12"/>
        <v/>
      </c>
    </row>
    <row r="276" spans="1:7" ht="27" x14ac:dyDescent="0.15">
      <c r="A276" s="1" t="s">
        <v>728</v>
      </c>
      <c r="B276" s="2" t="s">
        <v>230</v>
      </c>
      <c r="C276">
        <f t="shared" si="11"/>
        <v>110</v>
      </c>
      <c r="D276" t="s">
        <v>1502</v>
      </c>
      <c r="E276" t="str" cm="1">
        <f t="array" ref="E276">_xlfn.IFS(IFERROR(FIND("M-3SII",B276),-1)&gt;0,"J_M3S2",IFERROR(FIND("M-V",B276),-1)&gt;0,"J_M5",IFERROR(FIND("M-4S",B276),-1)&gt;0,"J_M4S",IFERROR(FIND("M-3C",B276),-1)&gt;0,"J_M3C",IFERROR(FIND("M-3S",B276),-1)&gt;0,"J_M3S",IFERROR(FIND("M-3H",B276),-1)&gt;0,"J_M3H",IFERROR(FIND("H-IIA",B276),-1)&gt;0,"J_H2A",IFERROR(FIND("H-IIB",B276),-1)&gt;0,"J_H2B",IFERROR(FIND("H-II",B276),-1)&gt;0,"J_H2",IFERROR(FIND("H-I",B276),-1)&gt;0,"J_H1",IFERROR(FIND("N-II",B276),-1)&gt;0,"J_N2",IFERROR(FIND("N-I",B276),-1)&gt;0,"J_N1",IFERROR(FIND("イプシロン",B276),-1)&gt;0,"J_E",TRUE,"")</f>
        <v/>
      </c>
      <c r="G276" t="str">
        <f t="shared" si="12"/>
        <v/>
      </c>
    </row>
    <row r="277" spans="1:7" ht="27" x14ac:dyDescent="0.15">
      <c r="A277" s="1" t="s">
        <v>729</v>
      </c>
      <c r="B277" s="2" t="s">
        <v>231</v>
      </c>
      <c r="C277">
        <f t="shared" si="11"/>
        <v>110</v>
      </c>
      <c r="D277" t="s">
        <v>1503</v>
      </c>
      <c r="E277" t="str" cm="1">
        <f t="array" ref="E277">_xlfn.IFS(IFERROR(FIND("M-3SII",B277),-1)&gt;0,"J_M3S2",IFERROR(FIND("M-V",B277),-1)&gt;0,"J_M5",IFERROR(FIND("M-4S",B277),-1)&gt;0,"J_M4S",IFERROR(FIND("M-3C",B277),-1)&gt;0,"J_M3C",IFERROR(FIND("M-3S",B277),-1)&gt;0,"J_M3S",IFERROR(FIND("M-3H",B277),-1)&gt;0,"J_M3H",IFERROR(FIND("H-IIA",B277),-1)&gt;0,"J_H2A",IFERROR(FIND("H-IIB",B277),-1)&gt;0,"J_H2B",IFERROR(FIND("H-II",B277),-1)&gt;0,"J_H2",IFERROR(FIND("H-I",B277),-1)&gt;0,"J_H1",IFERROR(FIND("N-II",B277),-1)&gt;0,"J_N2",IFERROR(FIND("N-I",B277),-1)&gt;0,"J_N1",IFERROR(FIND("イプシロン",B277),-1)&gt;0,"J_E",TRUE,"")</f>
        <v/>
      </c>
      <c r="G277" t="str">
        <f t="shared" si="12"/>
        <v/>
      </c>
    </row>
    <row r="278" spans="1:7" ht="27" x14ac:dyDescent="0.15">
      <c r="A278" s="1" t="s">
        <v>730</v>
      </c>
      <c r="B278" s="2" t="s">
        <v>232</v>
      </c>
      <c r="C278">
        <f t="shared" si="11"/>
        <v>109</v>
      </c>
      <c r="D278" t="s">
        <v>1212</v>
      </c>
      <c r="E278" t="str" cm="1">
        <f t="array" ref="E278">_xlfn.IFS(IFERROR(FIND("M-3SII",B278),-1)&gt;0,"J_M3S2",IFERROR(FIND("M-V",B278),-1)&gt;0,"J_M5",IFERROR(FIND("M-4S",B278),-1)&gt;0,"J_M4S",IFERROR(FIND("M-3C",B278),-1)&gt;0,"J_M3C",IFERROR(FIND("M-3S",B278),-1)&gt;0,"J_M3S",IFERROR(FIND("M-3H",B278),-1)&gt;0,"J_M3H",IFERROR(FIND("H-IIA",B278),-1)&gt;0,"J_H2A",IFERROR(FIND("H-IIB",B278),-1)&gt;0,"J_H2B",IFERROR(FIND("H-II",B278),-1)&gt;0,"J_H2",IFERROR(FIND("H-I",B278),-1)&gt;0,"J_H1",IFERROR(FIND("N-II",B278),-1)&gt;0,"J_N2",IFERROR(FIND("N-I",B278),-1)&gt;0,"J_N1",IFERROR(FIND("イプシロン",B278),-1)&gt;0,"J_E",TRUE,"")</f>
        <v/>
      </c>
      <c r="G278" t="str">
        <f t="shared" si="12"/>
        <v/>
      </c>
    </row>
    <row r="279" spans="1:7" ht="27" x14ac:dyDescent="0.15">
      <c r="A279" s="1" t="s">
        <v>731</v>
      </c>
      <c r="B279" s="2" t="s">
        <v>233</v>
      </c>
      <c r="C279">
        <f t="shared" si="11"/>
        <v>84</v>
      </c>
      <c r="D279" t="s">
        <v>1213</v>
      </c>
      <c r="E279" t="str" cm="1">
        <f t="array" ref="E279">_xlfn.IFS(IFERROR(FIND("M-3SII",B279),-1)&gt;0,"J_M3S2",IFERROR(FIND("M-V",B279),-1)&gt;0,"J_M5",IFERROR(FIND("M-4S",B279),-1)&gt;0,"J_M4S",IFERROR(FIND("M-3C",B279),-1)&gt;0,"J_M3C",IFERROR(FIND("M-3S",B279),-1)&gt;0,"J_M3S",IFERROR(FIND("M-3H",B279),-1)&gt;0,"J_M3H",IFERROR(FIND("H-IIA",B279),-1)&gt;0,"J_H2A",IFERROR(FIND("H-IIB",B279),-1)&gt;0,"J_H2B",IFERROR(FIND("H-II",B279),-1)&gt;0,"J_H2",IFERROR(FIND("H-I",B279),-1)&gt;0,"J_H1",IFERROR(FIND("N-II",B279),-1)&gt;0,"J_N2",IFERROR(FIND("N-I",B279),-1)&gt;0,"J_N1",IFERROR(FIND("イプシロン",B279),-1)&gt;0,"J_E",TRUE,"")</f>
        <v/>
      </c>
      <c r="G279" t="str">
        <f t="shared" si="12"/>
        <v/>
      </c>
    </row>
    <row r="280" spans="1:7" ht="27" x14ac:dyDescent="0.15">
      <c r="A280" s="1" t="s">
        <v>732</v>
      </c>
      <c r="B280" s="2" t="s">
        <v>234</v>
      </c>
      <c r="C280">
        <f t="shared" si="11"/>
        <v>118</v>
      </c>
      <c r="D280" t="s">
        <v>1504</v>
      </c>
      <c r="E280" t="str" cm="1">
        <f t="array" ref="E280">_xlfn.IFS(IFERROR(FIND("M-3SII",B280),-1)&gt;0,"J_M3S2",IFERROR(FIND("M-V",B280),-1)&gt;0,"J_M5",IFERROR(FIND("M-4S",B280),-1)&gt;0,"J_M4S",IFERROR(FIND("M-3C",B280),-1)&gt;0,"J_M3C",IFERROR(FIND("M-3S",B280),-1)&gt;0,"J_M3S",IFERROR(FIND("M-3H",B280),-1)&gt;0,"J_M3H",IFERROR(FIND("H-IIA",B280),-1)&gt;0,"J_H2A",IFERROR(FIND("H-IIB",B280),-1)&gt;0,"J_H2B",IFERROR(FIND("H-II",B280),-1)&gt;0,"J_H2",IFERROR(FIND("H-I",B280),-1)&gt;0,"J_H1",IFERROR(FIND("N-II",B280),-1)&gt;0,"J_N2",IFERROR(FIND("N-I",B280),-1)&gt;0,"J_N1",IFERROR(FIND("イプシロン",B280),-1)&gt;0,"J_E",TRUE,"")</f>
        <v/>
      </c>
      <c r="G280" t="str">
        <f t="shared" si="12"/>
        <v/>
      </c>
    </row>
    <row r="281" spans="1:7" ht="27" x14ac:dyDescent="0.15">
      <c r="A281" s="1" t="s">
        <v>733</v>
      </c>
      <c r="B281" s="2" t="s">
        <v>235</v>
      </c>
      <c r="C281">
        <f t="shared" si="11"/>
        <v>107</v>
      </c>
      <c r="D281" t="s">
        <v>1214</v>
      </c>
      <c r="E281" t="str" cm="1">
        <f t="array" ref="E281">_xlfn.IFS(IFERROR(FIND("M-3SII",B281),-1)&gt;0,"J_M3S2",IFERROR(FIND("M-V",B281),-1)&gt;0,"J_M5",IFERROR(FIND("M-4S",B281),-1)&gt;0,"J_M4S",IFERROR(FIND("M-3C",B281),-1)&gt;0,"J_M3C",IFERROR(FIND("M-3S",B281),-1)&gt;0,"J_M3S",IFERROR(FIND("M-3H",B281),-1)&gt;0,"J_M3H",IFERROR(FIND("H-IIA",B281),-1)&gt;0,"J_H2A",IFERROR(FIND("H-IIB",B281),-1)&gt;0,"J_H2B",IFERROR(FIND("H-II",B281),-1)&gt;0,"J_H2",IFERROR(FIND("H-I",B281),-1)&gt;0,"J_H1",IFERROR(FIND("N-II",B281),-1)&gt;0,"J_N2",IFERROR(FIND("N-I",B281),-1)&gt;0,"J_N1",IFERROR(FIND("イプシロン",B281),-1)&gt;0,"J_E",TRUE,"")</f>
        <v/>
      </c>
      <c r="G281" t="str">
        <f t="shared" si="12"/>
        <v/>
      </c>
    </row>
    <row r="282" spans="1:7" ht="27" x14ac:dyDescent="0.15">
      <c r="A282" s="1" t="s">
        <v>734</v>
      </c>
      <c r="B282" s="2" t="s">
        <v>236</v>
      </c>
      <c r="C282">
        <f t="shared" si="11"/>
        <v>104</v>
      </c>
      <c r="D282" t="s">
        <v>1215</v>
      </c>
      <c r="E282" t="str" cm="1">
        <f t="array" ref="E282">_xlfn.IFS(IFERROR(FIND("M-3SII",B282),-1)&gt;0,"J_M3S2",IFERROR(FIND("M-V",B282),-1)&gt;0,"J_M5",IFERROR(FIND("M-4S",B282),-1)&gt;0,"J_M4S",IFERROR(FIND("M-3C",B282),-1)&gt;0,"J_M3C",IFERROR(FIND("M-3S",B282),-1)&gt;0,"J_M3S",IFERROR(FIND("M-3H",B282),-1)&gt;0,"J_M3H",IFERROR(FIND("H-IIA",B282),-1)&gt;0,"J_H2A",IFERROR(FIND("H-IIB",B282),-1)&gt;0,"J_H2B",IFERROR(FIND("H-II",B282),-1)&gt;0,"J_H2",IFERROR(FIND("H-I",B282),-1)&gt;0,"J_H1",IFERROR(FIND("N-II",B282),-1)&gt;0,"J_N2",IFERROR(FIND("N-I",B282),-1)&gt;0,"J_N1",IFERROR(FIND("イプシロン",B282),-1)&gt;0,"J_E",TRUE,"")</f>
        <v/>
      </c>
      <c r="G282" t="str">
        <f t="shared" si="12"/>
        <v/>
      </c>
    </row>
    <row r="283" spans="1:7" ht="27" x14ac:dyDescent="0.15">
      <c r="A283" s="1" t="s">
        <v>735</v>
      </c>
      <c r="B283" s="2" t="s">
        <v>237</v>
      </c>
      <c r="C283">
        <f t="shared" si="11"/>
        <v>110</v>
      </c>
      <c r="D283" t="s">
        <v>1216</v>
      </c>
      <c r="E283" t="str" cm="1">
        <f t="array" ref="E283">_xlfn.IFS(IFERROR(FIND("M-3SII",B283),-1)&gt;0,"J_M3S2",IFERROR(FIND("M-V",B283),-1)&gt;0,"J_M5",IFERROR(FIND("M-4S",B283),-1)&gt;0,"J_M4S",IFERROR(FIND("M-3C",B283),-1)&gt;0,"J_M3C",IFERROR(FIND("M-3S",B283),-1)&gt;0,"J_M3S",IFERROR(FIND("M-3H",B283),-1)&gt;0,"J_M3H",IFERROR(FIND("H-IIA",B283),-1)&gt;0,"J_H2A",IFERROR(FIND("H-IIB",B283),-1)&gt;0,"J_H2B",IFERROR(FIND("H-II",B283),-1)&gt;0,"J_H2",IFERROR(FIND("H-I",B283),-1)&gt;0,"J_H1",IFERROR(FIND("N-II",B283),-1)&gt;0,"J_N2",IFERROR(FIND("N-I",B283),-1)&gt;0,"J_N1",IFERROR(FIND("イプシロン",B283),-1)&gt;0,"J_E",TRUE,"")</f>
        <v/>
      </c>
      <c r="G283" t="str">
        <f t="shared" si="12"/>
        <v/>
      </c>
    </row>
    <row r="284" spans="1:7" ht="27" x14ac:dyDescent="0.15">
      <c r="A284" s="1" t="s">
        <v>736</v>
      </c>
      <c r="B284" s="2" t="s">
        <v>238</v>
      </c>
      <c r="C284">
        <f t="shared" si="11"/>
        <v>96</v>
      </c>
      <c r="D284" t="s">
        <v>1217</v>
      </c>
      <c r="E284" t="str" cm="1">
        <f t="array" ref="E284">_xlfn.IFS(IFERROR(FIND("M-3SII",B284),-1)&gt;0,"J_M3S2",IFERROR(FIND("M-V",B284),-1)&gt;0,"J_M5",IFERROR(FIND("M-4S",B284),-1)&gt;0,"J_M4S",IFERROR(FIND("M-3C",B284),-1)&gt;0,"J_M3C",IFERROR(FIND("M-3S",B284),-1)&gt;0,"J_M3S",IFERROR(FIND("M-3H",B284),-1)&gt;0,"J_M3H",IFERROR(FIND("H-IIA",B284),-1)&gt;0,"J_H2A",IFERROR(FIND("H-IIB",B284),-1)&gt;0,"J_H2B",IFERROR(FIND("H-II",B284),-1)&gt;0,"J_H2",IFERROR(FIND("H-I",B284),-1)&gt;0,"J_H1",IFERROR(FIND("N-II",B284),-1)&gt;0,"J_N2",IFERROR(FIND("N-I",B284),-1)&gt;0,"J_N1",IFERROR(FIND("イプシロン",B284),-1)&gt;0,"J_E",TRUE,"")</f>
        <v/>
      </c>
      <c r="G284" t="str">
        <f t="shared" si="12"/>
        <v/>
      </c>
    </row>
    <row r="285" spans="1:7" ht="27" x14ac:dyDescent="0.15">
      <c r="A285" s="1" t="s">
        <v>737</v>
      </c>
      <c r="B285" s="2" t="s">
        <v>239</v>
      </c>
      <c r="C285">
        <f t="shared" si="11"/>
        <v>86</v>
      </c>
      <c r="D285" t="s">
        <v>1218</v>
      </c>
      <c r="E285" t="str" cm="1">
        <f t="array" ref="E285">_xlfn.IFS(IFERROR(FIND("M-3SII",B285),-1)&gt;0,"J_M3S2",IFERROR(FIND("M-V",B285),-1)&gt;0,"J_M5",IFERROR(FIND("M-4S",B285),-1)&gt;0,"J_M4S",IFERROR(FIND("M-3C",B285),-1)&gt;0,"J_M3C",IFERROR(FIND("M-3S",B285),-1)&gt;0,"J_M3S",IFERROR(FIND("M-3H",B285),-1)&gt;0,"J_M3H",IFERROR(FIND("H-IIA",B285),-1)&gt;0,"J_H2A",IFERROR(FIND("H-IIB",B285),-1)&gt;0,"J_H2B",IFERROR(FIND("H-II",B285),-1)&gt;0,"J_H2",IFERROR(FIND("H-I",B285),-1)&gt;0,"J_H1",IFERROR(FIND("N-II",B285),-1)&gt;0,"J_N2",IFERROR(FIND("N-I",B285),-1)&gt;0,"J_N1",IFERROR(FIND("イプシロン",B285),-1)&gt;0,"J_E",TRUE,"")</f>
        <v/>
      </c>
      <c r="G285" t="str">
        <f t="shared" si="12"/>
        <v/>
      </c>
    </row>
    <row r="286" spans="1:7" ht="27" x14ac:dyDescent="0.15">
      <c r="A286" s="1" t="s">
        <v>738</v>
      </c>
      <c r="B286" s="2" t="s">
        <v>240</v>
      </c>
      <c r="C286">
        <f t="shared" si="11"/>
        <v>102</v>
      </c>
      <c r="D286" t="s">
        <v>1219</v>
      </c>
      <c r="E286" t="str" cm="1">
        <f t="array" ref="E286">_xlfn.IFS(IFERROR(FIND("M-3SII",B286),-1)&gt;0,"J_M3S2",IFERROR(FIND("M-V",B286),-1)&gt;0,"J_M5",IFERROR(FIND("M-4S",B286),-1)&gt;0,"J_M4S",IFERROR(FIND("M-3C",B286),-1)&gt;0,"J_M3C",IFERROR(FIND("M-3S",B286),-1)&gt;0,"J_M3S",IFERROR(FIND("M-3H",B286),-1)&gt;0,"J_M3H",IFERROR(FIND("H-IIA",B286),-1)&gt;0,"J_H2A",IFERROR(FIND("H-IIB",B286),-1)&gt;0,"J_H2B",IFERROR(FIND("H-II",B286),-1)&gt;0,"J_H2",IFERROR(FIND("H-I",B286),-1)&gt;0,"J_H1",IFERROR(FIND("N-II",B286),-1)&gt;0,"J_N2",IFERROR(FIND("N-I",B286),-1)&gt;0,"J_N1",IFERROR(FIND("イプシロン",B286),-1)&gt;0,"J_E",TRUE,"")</f>
        <v/>
      </c>
      <c r="G286" t="str">
        <f t="shared" si="12"/>
        <v/>
      </c>
    </row>
    <row r="287" spans="1:7" ht="27" x14ac:dyDescent="0.15">
      <c r="A287" s="1" t="s">
        <v>739</v>
      </c>
      <c r="B287" s="2" t="s">
        <v>241</v>
      </c>
      <c r="C287">
        <f t="shared" si="11"/>
        <v>104</v>
      </c>
      <c r="D287" t="s">
        <v>1220</v>
      </c>
      <c r="E287" t="str" cm="1">
        <f t="array" ref="E287">_xlfn.IFS(IFERROR(FIND("M-3SII",B287),-1)&gt;0,"J_M3S2",IFERROR(FIND("M-V",B287),-1)&gt;0,"J_M5",IFERROR(FIND("M-4S",B287),-1)&gt;0,"J_M4S",IFERROR(FIND("M-3C",B287),-1)&gt;0,"J_M3C",IFERROR(FIND("M-3S",B287),-1)&gt;0,"J_M3S",IFERROR(FIND("M-3H",B287),-1)&gt;0,"J_M3H",IFERROR(FIND("H-IIA",B287),-1)&gt;0,"J_H2A",IFERROR(FIND("H-IIB",B287),-1)&gt;0,"J_H2B",IFERROR(FIND("H-II",B287),-1)&gt;0,"J_H2",IFERROR(FIND("H-I",B287),-1)&gt;0,"J_H1",IFERROR(FIND("N-II",B287),-1)&gt;0,"J_N2",IFERROR(FIND("N-I",B287),-1)&gt;0,"J_N1",IFERROR(FIND("イプシロン",B287),-1)&gt;0,"J_E",TRUE,"")</f>
        <v/>
      </c>
      <c r="G287" t="str">
        <f t="shared" si="12"/>
        <v/>
      </c>
    </row>
    <row r="288" spans="1:7" ht="27" x14ac:dyDescent="0.15">
      <c r="A288" s="1" t="s">
        <v>740</v>
      </c>
      <c r="B288" s="2" t="s">
        <v>242</v>
      </c>
      <c r="C288">
        <f t="shared" si="11"/>
        <v>109</v>
      </c>
      <c r="D288" t="s">
        <v>1221</v>
      </c>
      <c r="E288" t="str" cm="1">
        <f t="array" ref="E288">_xlfn.IFS(IFERROR(FIND("M-3SII",B288),-1)&gt;0,"J_M3S2",IFERROR(FIND("M-V",B288),-1)&gt;0,"J_M5",IFERROR(FIND("M-4S",B288),-1)&gt;0,"J_M4S",IFERROR(FIND("M-3C",B288),-1)&gt;0,"J_M3C",IFERROR(FIND("M-3S",B288),-1)&gt;0,"J_M3S",IFERROR(FIND("M-3H",B288),-1)&gt;0,"J_M3H",IFERROR(FIND("H-IIA",B288),-1)&gt;0,"J_H2A",IFERROR(FIND("H-IIB",B288),-1)&gt;0,"J_H2B",IFERROR(FIND("H-II",B288),-1)&gt;0,"J_H2",IFERROR(FIND("H-I",B288),-1)&gt;0,"J_H1",IFERROR(FIND("N-II",B288),-1)&gt;0,"J_N2",IFERROR(FIND("N-I",B288),-1)&gt;0,"J_N1",IFERROR(FIND("イプシロン",B288),-1)&gt;0,"J_E",TRUE,"")</f>
        <v/>
      </c>
      <c r="G288" t="str">
        <f t="shared" si="12"/>
        <v/>
      </c>
    </row>
    <row r="289" spans="1:10" ht="27" x14ac:dyDescent="0.15">
      <c r="A289" s="1" t="s">
        <v>741</v>
      </c>
      <c r="B289" s="2" t="s">
        <v>243</v>
      </c>
      <c r="C289">
        <f t="shared" si="11"/>
        <v>110</v>
      </c>
      <c r="D289" t="s">
        <v>1222</v>
      </c>
      <c r="E289" t="str" cm="1">
        <f t="array" ref="E289">_xlfn.IFS(IFERROR(FIND("M-3SII",B289),-1)&gt;0,"J_M3S2",IFERROR(FIND("M-V",B289),-1)&gt;0,"J_M5",IFERROR(FIND("M-4S",B289),-1)&gt;0,"J_M4S",IFERROR(FIND("M-3C",B289),-1)&gt;0,"J_M3C",IFERROR(FIND("M-3S",B289),-1)&gt;0,"J_M3S",IFERROR(FIND("M-3H",B289),-1)&gt;0,"J_M3H",IFERROR(FIND("H-IIA",B289),-1)&gt;0,"J_H2A",IFERROR(FIND("H-IIB",B289),-1)&gt;0,"J_H2B",IFERROR(FIND("H-II",B289),-1)&gt;0,"J_H2",IFERROR(FIND("H-I",B289),-1)&gt;0,"J_H1",IFERROR(FIND("N-II",B289),-1)&gt;0,"J_N2",IFERROR(FIND("N-I",B289),-1)&gt;0,"J_N1",IFERROR(FIND("イプシロン",B289),-1)&gt;0,"J_E",TRUE,"")</f>
        <v/>
      </c>
      <c r="G289" t="str">
        <f t="shared" si="12"/>
        <v/>
      </c>
    </row>
    <row r="290" spans="1:10" ht="27" x14ac:dyDescent="0.15">
      <c r="A290" s="1" t="s">
        <v>742</v>
      </c>
      <c r="B290" s="2" t="s">
        <v>244</v>
      </c>
      <c r="C290">
        <f t="shared" si="11"/>
        <v>108</v>
      </c>
      <c r="D290" t="s">
        <v>1223</v>
      </c>
      <c r="E290" t="str" cm="1">
        <f t="array" ref="E290">_xlfn.IFS(IFERROR(FIND("M-3SII",B290),-1)&gt;0,"J_M3S2",IFERROR(FIND("M-V",B290),-1)&gt;0,"J_M5",IFERROR(FIND("M-4S",B290),-1)&gt;0,"J_M4S",IFERROR(FIND("M-3C",B290),-1)&gt;0,"J_M3C",IFERROR(FIND("M-3S",B290),-1)&gt;0,"J_M3S",IFERROR(FIND("M-3H",B290),-1)&gt;0,"J_M3H",IFERROR(FIND("H-IIA",B290),-1)&gt;0,"J_H2A",IFERROR(FIND("H-IIB",B290),-1)&gt;0,"J_H2B",IFERROR(FIND("H-II",B290),-1)&gt;0,"J_H2",IFERROR(FIND("H-I",B290),-1)&gt;0,"J_H1",IFERROR(FIND("N-II",B290),-1)&gt;0,"J_N2",IFERROR(FIND("N-I",B290),-1)&gt;0,"J_N1",IFERROR(FIND("イプシロン",B290),-1)&gt;0,"J_E",TRUE,"")</f>
        <v/>
      </c>
      <c r="G290" t="str">
        <f t="shared" si="12"/>
        <v/>
      </c>
    </row>
    <row r="291" spans="1:10" ht="27" x14ac:dyDescent="0.15">
      <c r="A291" s="1" t="s">
        <v>1898</v>
      </c>
      <c r="B291" s="2" t="s">
        <v>1899</v>
      </c>
      <c r="C291">
        <f t="shared" si="11"/>
        <v>116</v>
      </c>
      <c r="D291" t="s">
        <v>1892</v>
      </c>
      <c r="E291" t="s">
        <v>1894</v>
      </c>
      <c r="F291">
        <v>50</v>
      </c>
      <c r="G291" t="str">
        <f t="shared" si="12"/>
        <v>J_H2A_50</v>
      </c>
      <c r="H291">
        <v>20250706</v>
      </c>
      <c r="I291" t="s">
        <v>1895</v>
      </c>
    </row>
    <row r="292" spans="1:10" ht="27" x14ac:dyDescent="0.15">
      <c r="A292" s="1" t="s">
        <v>1897</v>
      </c>
      <c r="B292" s="2" t="s">
        <v>1902</v>
      </c>
      <c r="C292">
        <f t="shared" si="11"/>
        <v>116</v>
      </c>
      <c r="D292" t="s">
        <v>1893</v>
      </c>
      <c r="E292" t="s">
        <v>1894</v>
      </c>
      <c r="F292">
        <v>50</v>
      </c>
      <c r="G292" t="str">
        <f t="shared" ref="G292" si="13">IF(E292&lt;&gt;"",E292&amp;"_"&amp;F292,"")</f>
        <v>J_H2A_50</v>
      </c>
      <c r="H292">
        <v>20251222</v>
      </c>
      <c r="I292" t="s">
        <v>1004</v>
      </c>
      <c r="J292" t="s">
        <v>1903</v>
      </c>
    </row>
    <row r="293" spans="1:10" ht="27" x14ac:dyDescent="0.15">
      <c r="A293" s="1" t="s">
        <v>743</v>
      </c>
      <c r="B293" s="2" t="s">
        <v>1896</v>
      </c>
      <c r="C293">
        <f t="shared" si="11"/>
        <v>99</v>
      </c>
      <c r="D293" t="s">
        <v>1224</v>
      </c>
      <c r="E293" t="str" cm="1">
        <f t="array" ref="E293">_xlfn.IFS(IFERROR(FIND("M-3SII",B293),-1)&gt;0,"J_M3S2",IFERROR(FIND("M-V",B293),-1)&gt;0,"J_M5",IFERROR(FIND("M-4S",B293),-1)&gt;0,"J_M4S",IFERROR(FIND("M-3C",B293),-1)&gt;0,"J_M3C",IFERROR(FIND("M-3S",B293),-1)&gt;0,"J_M3S",IFERROR(FIND("M-3H",B293),-1)&gt;0,"J_M3H",IFERROR(FIND("H-IIA",B293),-1)&gt;0,"J_H2A",IFERROR(FIND("H-IIB",B293),-1)&gt;0,"J_H2B",IFERROR(FIND("H-II",B293),-1)&gt;0,"J_H2",IFERROR(FIND("H-I",B293),-1)&gt;0,"J_H1",IFERROR(FIND("N-II",B293),-1)&gt;0,"J_N2",IFERROR(FIND("N-I",B293),-1)&gt;0,"J_N1",IFERROR(FIND("イプシロン",B293),-1)&gt;0,"J_E",TRUE,"")</f>
        <v/>
      </c>
      <c r="G293" t="str">
        <f t="shared" si="12"/>
        <v/>
      </c>
    </row>
    <row r="294" spans="1:10" ht="27" x14ac:dyDescent="0.15">
      <c r="A294" s="1" t="s">
        <v>744</v>
      </c>
      <c r="B294" s="2" t="s">
        <v>245</v>
      </c>
      <c r="C294">
        <f t="shared" si="11"/>
        <v>107</v>
      </c>
      <c r="D294" t="s">
        <v>1505</v>
      </c>
      <c r="E294" t="str" cm="1">
        <f t="array" ref="E294">_xlfn.IFS(IFERROR(FIND("M-3SII",B294),-1)&gt;0,"J_M3S2",IFERROR(FIND("M-V",B294),-1)&gt;0,"J_M5",IFERROR(FIND("M-4S",B294),-1)&gt;0,"J_M4S",IFERROR(FIND("M-3C",B294),-1)&gt;0,"J_M3C",IFERROR(FIND("M-3S",B294),-1)&gt;0,"J_M3S",IFERROR(FIND("M-3H",B294),-1)&gt;0,"J_M3H",IFERROR(FIND("H-IIA",B294),-1)&gt;0,"J_H2A",IFERROR(FIND("H-IIB",B294),-1)&gt;0,"J_H2B",IFERROR(FIND("H-II",B294),-1)&gt;0,"J_H2",IFERROR(FIND("H-I",B294),-1)&gt;0,"J_H1",IFERROR(FIND("N-II",B294),-1)&gt;0,"J_N2",IFERROR(FIND("N-I",B294),-1)&gt;0,"J_N1",IFERROR(FIND("イプシロン",B294),-1)&gt;0,"J_E",TRUE,"")</f>
        <v/>
      </c>
      <c r="G294" t="str">
        <f t="shared" si="12"/>
        <v/>
      </c>
    </row>
    <row r="295" spans="1:10" ht="27" x14ac:dyDescent="0.15">
      <c r="A295" s="1" t="s">
        <v>745</v>
      </c>
      <c r="B295" s="2" t="s">
        <v>246</v>
      </c>
      <c r="C295">
        <f t="shared" si="11"/>
        <v>105</v>
      </c>
      <c r="D295" t="s">
        <v>1225</v>
      </c>
      <c r="E295" t="str" cm="1">
        <f t="array" ref="E295">_xlfn.IFS(IFERROR(FIND("M-3SII",B295),-1)&gt;0,"J_M3S2",IFERROR(FIND("M-V",B295),-1)&gt;0,"J_M5",IFERROR(FIND("M-4S",B295),-1)&gt;0,"J_M4S",IFERROR(FIND("M-3C",B295),-1)&gt;0,"J_M3C",IFERROR(FIND("M-3S",B295),-1)&gt;0,"J_M3S",IFERROR(FIND("M-3H",B295),-1)&gt;0,"J_M3H",IFERROR(FIND("H-IIA",B295),-1)&gt;0,"J_H2A",IFERROR(FIND("H-IIB",B295),-1)&gt;0,"J_H2B",IFERROR(FIND("H-II",B295),-1)&gt;0,"J_H2",IFERROR(FIND("H-I",B295),-1)&gt;0,"J_H1",IFERROR(FIND("N-II",B295),-1)&gt;0,"J_N2",IFERROR(FIND("N-I",B295),-1)&gt;0,"J_N1",IFERROR(FIND("イプシロン",B295),-1)&gt;0,"J_E",TRUE,"")</f>
        <v/>
      </c>
      <c r="G295" t="str">
        <f t="shared" si="12"/>
        <v/>
      </c>
    </row>
    <row r="296" spans="1:10" ht="27" x14ac:dyDescent="0.15">
      <c r="A296" s="1" t="s">
        <v>1848</v>
      </c>
      <c r="B296" s="2" t="s">
        <v>1852</v>
      </c>
      <c r="C296">
        <f t="shared" si="11"/>
        <v>110</v>
      </c>
      <c r="D296" t="s">
        <v>1849</v>
      </c>
      <c r="E296" t="s">
        <v>1629</v>
      </c>
      <c r="F296">
        <v>3</v>
      </c>
      <c r="G296" t="str">
        <f t="shared" ref="G296" si="14">IF(E296&lt;&gt;"",E296&amp;"_"&amp;F296,"")</f>
        <v>J_H3_3</v>
      </c>
    </row>
    <row r="297" spans="1:10" ht="27" x14ac:dyDescent="0.15">
      <c r="A297" s="1" t="s">
        <v>1851</v>
      </c>
      <c r="B297" s="2" t="s">
        <v>1853</v>
      </c>
      <c r="C297">
        <f t="shared" si="11"/>
        <v>89</v>
      </c>
      <c r="D297" t="s">
        <v>1850</v>
      </c>
      <c r="E297" t="s">
        <v>1629</v>
      </c>
      <c r="F297">
        <v>3</v>
      </c>
      <c r="G297" t="str">
        <f t="shared" si="12"/>
        <v>J_H3_3</v>
      </c>
    </row>
    <row r="298" spans="1:10" ht="27" x14ac:dyDescent="0.15">
      <c r="A298" s="1" t="s">
        <v>746</v>
      </c>
      <c r="B298" s="2" t="s">
        <v>247</v>
      </c>
      <c r="C298">
        <f t="shared" si="11"/>
        <v>106</v>
      </c>
      <c r="D298" t="s">
        <v>1226</v>
      </c>
      <c r="E298" t="str" cm="1">
        <f t="array" ref="E298">_xlfn.IFS(IFERROR(FIND("M-3SII",B298),-1)&gt;0,"J_M3S2",IFERROR(FIND("M-V",B298),-1)&gt;0,"J_M5",IFERROR(FIND("M-4S",B298),-1)&gt;0,"J_M4S",IFERROR(FIND("M-3C",B298),-1)&gt;0,"J_M3C",IFERROR(FIND("M-3S",B298),-1)&gt;0,"J_M3S",IFERROR(FIND("M-3H",B298),-1)&gt;0,"J_M3H",IFERROR(FIND("H-IIA",B298),-1)&gt;0,"J_H2A",IFERROR(FIND("H-IIB",B298),-1)&gt;0,"J_H2B",IFERROR(FIND("H-II",B298),-1)&gt;0,"J_H2",IFERROR(FIND("H-I",B298),-1)&gt;0,"J_H1",IFERROR(FIND("N-II",B298),-1)&gt;0,"J_N2",IFERROR(FIND("N-I",B298),-1)&gt;0,"J_N1",IFERROR(FIND("イプシロン",B298),-1)&gt;0,"J_E",TRUE,"")</f>
        <v/>
      </c>
      <c r="G298" t="str">
        <f t="shared" si="12"/>
        <v/>
      </c>
    </row>
    <row r="299" spans="1:10" ht="27" x14ac:dyDescent="0.15">
      <c r="A299" s="1" t="s">
        <v>747</v>
      </c>
      <c r="B299" s="2" t="s">
        <v>248</v>
      </c>
      <c r="C299">
        <f t="shared" si="11"/>
        <v>104</v>
      </c>
      <c r="D299" t="s">
        <v>1227</v>
      </c>
      <c r="E299" t="s">
        <v>1603</v>
      </c>
      <c r="F299">
        <v>3</v>
      </c>
      <c r="G299" t="str">
        <f t="shared" si="12"/>
        <v>J_M5_3</v>
      </c>
    </row>
    <row r="300" spans="1:10" ht="27" x14ac:dyDescent="0.15">
      <c r="A300" s="1" t="s">
        <v>748</v>
      </c>
      <c r="B300" s="2" t="s">
        <v>249</v>
      </c>
      <c r="C300">
        <f t="shared" si="11"/>
        <v>97</v>
      </c>
      <c r="D300" t="s">
        <v>1604</v>
      </c>
      <c r="E300" t="s">
        <v>1603</v>
      </c>
      <c r="F300">
        <v>3</v>
      </c>
      <c r="G300" t="str">
        <f t="shared" si="12"/>
        <v>J_M5_3</v>
      </c>
    </row>
    <row r="301" spans="1:10" ht="27" x14ac:dyDescent="0.15">
      <c r="A301" s="1" t="s">
        <v>749</v>
      </c>
      <c r="B301" s="2" t="s">
        <v>250</v>
      </c>
      <c r="C301">
        <f t="shared" si="11"/>
        <v>108</v>
      </c>
      <c r="D301" t="s">
        <v>1228</v>
      </c>
      <c r="G301" t="str">
        <f t="shared" si="12"/>
        <v/>
      </c>
    </row>
    <row r="302" spans="1:10" ht="27" x14ac:dyDescent="0.15">
      <c r="A302" s="1" t="s">
        <v>750</v>
      </c>
      <c r="B302" s="2" t="s">
        <v>251</v>
      </c>
      <c r="C302">
        <f t="shared" si="11"/>
        <v>110</v>
      </c>
      <c r="D302" t="s">
        <v>1229</v>
      </c>
      <c r="E302" t="str" cm="1">
        <f t="array" ref="E302">_xlfn.IFS(IFERROR(FIND("M-3SII",B302),-1)&gt;0,"J_M3S2",IFERROR(FIND("M-V",B302),-1)&gt;0,"J_M5",IFERROR(FIND("M-4S",B302),-1)&gt;0,"J_M4S",IFERROR(FIND("M-3C",B302),-1)&gt;0,"J_M3C",IFERROR(FIND("M-3S",B302),-1)&gt;0,"J_M3S",IFERROR(FIND("M-3H",B302),-1)&gt;0,"J_M3H",IFERROR(FIND("H-IIA",B302),-1)&gt;0,"J_H2A",IFERROR(FIND("H-IIB",B302),-1)&gt;0,"J_H2B",IFERROR(FIND("H-II",B302),-1)&gt;0,"J_H2",IFERROR(FIND("H-I",B302),-1)&gt;0,"J_H1",IFERROR(FIND("N-II",B302),-1)&gt;0,"J_N2",IFERROR(FIND("N-I",B302),-1)&gt;0,"J_N1",IFERROR(FIND("イプシロン",B302),-1)&gt;0,"J_E",TRUE,"")</f>
        <v/>
      </c>
      <c r="G302" t="str">
        <f t="shared" si="12"/>
        <v/>
      </c>
    </row>
    <row r="303" spans="1:10" ht="27" x14ac:dyDescent="0.15">
      <c r="A303" s="1" t="s">
        <v>751</v>
      </c>
      <c r="B303" s="2" t="s">
        <v>252</v>
      </c>
      <c r="C303">
        <f t="shared" si="11"/>
        <v>79</v>
      </c>
      <c r="D303" t="s">
        <v>1230</v>
      </c>
      <c r="E303" t="str" cm="1">
        <f t="array" ref="E303">_xlfn.IFS(IFERROR(FIND("M-3SII",B303),-1)&gt;0,"J_M3S2",IFERROR(FIND("M-V",B303),-1)&gt;0,"J_M5",IFERROR(FIND("M-4S",B303),-1)&gt;0,"J_M4S",IFERROR(FIND("M-3C",B303),-1)&gt;0,"J_M3C",IFERROR(FIND("M-3S",B303),-1)&gt;0,"J_M3S",IFERROR(FIND("M-3H",B303),-1)&gt;0,"J_M3H",IFERROR(FIND("H-IIA",B303),-1)&gt;0,"J_H2A",IFERROR(FIND("H-IIB",B303),-1)&gt;0,"J_H2B",IFERROR(FIND("H-II",B303),-1)&gt;0,"J_H2",IFERROR(FIND("H-I",B303),-1)&gt;0,"J_H1",IFERROR(FIND("N-II",B303),-1)&gt;0,"J_N2",IFERROR(FIND("N-I",B303),-1)&gt;0,"J_N1",IFERROR(FIND("イプシロン",B303),-1)&gt;0,"J_E",TRUE,"")</f>
        <v/>
      </c>
      <c r="G303" t="str">
        <f t="shared" si="12"/>
        <v/>
      </c>
    </row>
    <row r="304" spans="1:10" ht="27" x14ac:dyDescent="0.15">
      <c r="A304" s="1" t="s">
        <v>752</v>
      </c>
      <c r="B304" s="2" t="s">
        <v>253</v>
      </c>
      <c r="C304">
        <f t="shared" si="11"/>
        <v>105</v>
      </c>
      <c r="D304" t="s">
        <v>1231</v>
      </c>
      <c r="E304" t="str" cm="1">
        <f t="array" ref="E304">_xlfn.IFS(IFERROR(FIND("M-3SII",B304),-1)&gt;0,"J_M3S2",IFERROR(FIND("M-V",B304),-1)&gt;0,"J_M5",IFERROR(FIND("M-4S",B304),-1)&gt;0,"J_M4S",IFERROR(FIND("M-3C",B304),-1)&gt;0,"J_M3C",IFERROR(FIND("M-3S",B304),-1)&gt;0,"J_M3S",IFERROR(FIND("M-3H",B304),-1)&gt;0,"J_M3H",IFERROR(FIND("H-IIA",B304),-1)&gt;0,"J_H2A",IFERROR(FIND("H-IIB",B304),-1)&gt;0,"J_H2B",IFERROR(FIND("H-II",B304),-1)&gt;0,"J_H2",IFERROR(FIND("H-I",B304),-1)&gt;0,"J_H1",IFERROR(FIND("N-II",B304),-1)&gt;0,"J_N2",IFERROR(FIND("N-I",B304),-1)&gt;0,"J_N1",IFERROR(FIND("イプシロン",B304),-1)&gt;0,"J_E",TRUE,"")</f>
        <v/>
      </c>
      <c r="G304" t="str">
        <f t="shared" si="12"/>
        <v/>
      </c>
    </row>
    <row r="305" spans="1:10" ht="27" x14ac:dyDescent="0.15">
      <c r="A305" s="1" t="s">
        <v>753</v>
      </c>
      <c r="B305" s="2" t="s">
        <v>254</v>
      </c>
      <c r="C305">
        <f t="shared" si="11"/>
        <v>101</v>
      </c>
      <c r="D305" t="s">
        <v>1232</v>
      </c>
      <c r="E305" t="str" cm="1">
        <f t="array" ref="E305">_xlfn.IFS(IFERROR(FIND("M-3SII",B305),-1)&gt;0,"J_M3S2",IFERROR(FIND("M-V",B305),-1)&gt;0,"J_M5",IFERROR(FIND("M-4S",B305),-1)&gt;0,"J_M4S",IFERROR(FIND("M-3C",B305),-1)&gt;0,"J_M3C",IFERROR(FIND("M-3S",B305),-1)&gt;0,"J_M3S",IFERROR(FIND("M-3H",B305),-1)&gt;0,"J_M3H",IFERROR(FIND("H-IIA",B305),-1)&gt;0,"J_H2A",IFERROR(FIND("H-IIB",B305),-1)&gt;0,"J_H2B",IFERROR(FIND("H-II",B305),-1)&gt;0,"J_H2",IFERROR(FIND("H-I",B305),-1)&gt;0,"J_H1",IFERROR(FIND("N-II",B305),-1)&gt;0,"J_N2",IFERROR(FIND("N-I",B305),-1)&gt;0,"J_N1",IFERROR(FIND("イプシロン",B305),-1)&gt;0,"J_E",TRUE,"")</f>
        <v/>
      </c>
      <c r="G305" t="str">
        <f t="shared" si="12"/>
        <v/>
      </c>
    </row>
    <row r="306" spans="1:10" ht="27" x14ac:dyDescent="0.15">
      <c r="A306" s="1" t="s">
        <v>754</v>
      </c>
      <c r="B306" s="2" t="s">
        <v>255</v>
      </c>
      <c r="C306">
        <f t="shared" si="11"/>
        <v>74</v>
      </c>
      <c r="D306" t="s">
        <v>1233</v>
      </c>
      <c r="E306" t="str" cm="1">
        <f t="array" ref="E306">_xlfn.IFS(IFERROR(FIND("M-3SII",B306),-1)&gt;0,"J_M3S2",IFERROR(FIND("M-V",B306),-1)&gt;0,"J_M5",IFERROR(FIND("M-4S",B306),-1)&gt;0,"J_M4S",IFERROR(FIND("M-3C",B306),-1)&gt;0,"J_M3C",IFERROR(FIND("M-3S",B306),-1)&gt;0,"J_M3S",IFERROR(FIND("M-3H",B306),-1)&gt;0,"J_M3H",IFERROR(FIND("H-IIA",B306),-1)&gt;0,"J_H2A",IFERROR(FIND("H-IIB",B306),-1)&gt;0,"J_H2B",IFERROR(FIND("H-II",B306),-1)&gt;0,"J_H2",IFERROR(FIND("H-I",B306),-1)&gt;0,"J_H1",IFERROR(FIND("N-II",B306),-1)&gt;0,"J_N2",IFERROR(FIND("N-I",B306),-1)&gt;0,"J_N1",IFERROR(FIND("イプシロン",B306),-1)&gt;0,"J_E",TRUE,"")</f>
        <v/>
      </c>
      <c r="G306" t="str">
        <f t="shared" si="12"/>
        <v/>
      </c>
    </row>
    <row r="307" spans="1:10" ht="40.5" x14ac:dyDescent="0.15">
      <c r="A307" s="1" t="s">
        <v>755</v>
      </c>
      <c r="B307" s="2" t="s">
        <v>1861</v>
      </c>
      <c r="C307">
        <f t="shared" si="11"/>
        <v>124</v>
      </c>
      <c r="D307" t="s">
        <v>1234</v>
      </c>
      <c r="E307" t="s">
        <v>1598</v>
      </c>
      <c r="F307">
        <v>6</v>
      </c>
      <c r="G307" t="str">
        <f t="shared" si="12"/>
        <v>J_M5_6</v>
      </c>
      <c r="H307">
        <v>20250129</v>
      </c>
      <c r="I307" t="s">
        <v>1863</v>
      </c>
      <c r="J307" t="s">
        <v>1864</v>
      </c>
    </row>
    <row r="308" spans="1:10" ht="27" x14ac:dyDescent="0.15">
      <c r="A308" s="1" t="s">
        <v>756</v>
      </c>
      <c r="B308" s="2" t="s">
        <v>1862</v>
      </c>
      <c r="C308">
        <f t="shared" si="11"/>
        <v>117</v>
      </c>
      <c r="D308" t="s">
        <v>1506</v>
      </c>
      <c r="E308" t="str" cm="1">
        <f t="array" ref="E308">_xlfn.IFS(IFERROR(FIND("M-3SII",B308),-1)&gt;0,"J_M3S2",IFERROR(FIND("M-V",B308),-1)&gt;0,"J_M5",IFERROR(FIND("M-4S",B308),-1)&gt;0,"J_M4S",IFERROR(FIND("M-3C",B308),-1)&gt;0,"J_M3C",IFERROR(FIND("M-3S",B308),-1)&gt;0,"J_M3S",IFERROR(FIND("M-3H",B308),-1)&gt;0,"J_M3H",IFERROR(FIND("H-IIA",B308),-1)&gt;0,"J_H2A",IFERROR(FIND("H-IIB",B308),-1)&gt;0,"J_H2B",IFERROR(FIND("H-II",B308),-1)&gt;0,"J_H2",IFERROR(FIND("H-I",B308),-1)&gt;0,"J_H1",IFERROR(FIND("N-II",B308),-1)&gt;0,"J_N2",IFERROR(FIND("N-I",B308),-1)&gt;0,"J_N1",IFERROR(FIND("イプシロン",B308),-1)&gt;0,"J_E",TRUE,"")</f>
        <v>J_M5</v>
      </c>
      <c r="F308">
        <v>6</v>
      </c>
      <c r="G308" t="str">
        <f t="shared" si="12"/>
        <v>J_M5_6</v>
      </c>
      <c r="H308">
        <v>20250129</v>
      </c>
      <c r="I308" t="s">
        <v>1863</v>
      </c>
      <c r="J308" t="s">
        <v>1864</v>
      </c>
    </row>
    <row r="309" spans="1:10" ht="27" x14ac:dyDescent="0.15">
      <c r="A309" s="1" t="s">
        <v>757</v>
      </c>
      <c r="B309" s="2" t="s">
        <v>256</v>
      </c>
      <c r="C309">
        <f t="shared" si="11"/>
        <v>100</v>
      </c>
      <c r="D309" t="s">
        <v>1235</v>
      </c>
      <c r="E309" t="str" cm="1">
        <f t="array" ref="E309">_xlfn.IFS(IFERROR(FIND("M-3SII",B309),-1)&gt;0,"J_M3S2",IFERROR(FIND("M-V",B309),-1)&gt;0,"J_M5",IFERROR(FIND("M-4S",B309),-1)&gt;0,"J_M4S",IFERROR(FIND("M-3C",B309),-1)&gt;0,"J_M3C",IFERROR(FIND("M-3S",B309),-1)&gt;0,"J_M3S",IFERROR(FIND("M-3H",B309),-1)&gt;0,"J_M3H",IFERROR(FIND("H-IIA",B309),-1)&gt;0,"J_H2A",IFERROR(FIND("H-IIB",B309),-1)&gt;0,"J_H2B",IFERROR(FIND("H-II",B309),-1)&gt;0,"J_H2",IFERROR(FIND("H-I",B309),-1)&gt;0,"J_H1",IFERROR(FIND("N-II",B309),-1)&gt;0,"J_N2",IFERROR(FIND("N-I",B309),-1)&gt;0,"J_N1",IFERROR(FIND("イプシロン",B309),-1)&gt;0,"J_E",TRUE,"")</f>
        <v/>
      </c>
      <c r="G309" t="str">
        <f t="shared" si="12"/>
        <v/>
      </c>
    </row>
    <row r="310" spans="1:10" ht="27" x14ac:dyDescent="0.15">
      <c r="A310" s="1" t="s">
        <v>758</v>
      </c>
      <c r="B310" s="2" t="s">
        <v>257</v>
      </c>
      <c r="C310">
        <f t="shared" si="11"/>
        <v>92</v>
      </c>
      <c r="D310" t="s">
        <v>1236</v>
      </c>
      <c r="E310" t="str" cm="1">
        <f t="array" ref="E310">_xlfn.IFS(IFERROR(FIND("M-3SII",B310),-1)&gt;0,"J_M3S2",IFERROR(FIND("M-V",B310),-1)&gt;0,"J_M5",IFERROR(FIND("M-4S",B310),-1)&gt;0,"J_M4S",IFERROR(FIND("M-3C",B310),-1)&gt;0,"J_M3C",IFERROR(FIND("M-3S",B310),-1)&gt;0,"J_M3S",IFERROR(FIND("M-3H",B310),-1)&gt;0,"J_M3H",IFERROR(FIND("H-IIA",B310),-1)&gt;0,"J_H2A",IFERROR(FIND("H-IIB",B310),-1)&gt;0,"J_H2B",IFERROR(FIND("H-II",B310),-1)&gt;0,"J_H2",IFERROR(FIND("H-I",B310),-1)&gt;0,"J_H1",IFERROR(FIND("N-II",B310),-1)&gt;0,"J_N2",IFERROR(FIND("N-I",B310),-1)&gt;0,"J_N1",IFERROR(FIND("イプシロン",B310),-1)&gt;0,"J_E",TRUE,"")</f>
        <v/>
      </c>
      <c r="G310" t="str">
        <f t="shared" si="12"/>
        <v/>
      </c>
    </row>
    <row r="311" spans="1:10" ht="27" x14ac:dyDescent="0.15">
      <c r="A311" s="1" t="s">
        <v>759</v>
      </c>
      <c r="B311" s="2" t="s">
        <v>258</v>
      </c>
      <c r="C311">
        <f t="shared" si="11"/>
        <v>109</v>
      </c>
      <c r="D311" t="s">
        <v>1237</v>
      </c>
      <c r="E311" t="str" cm="1">
        <f t="array" ref="E311">_xlfn.IFS(IFERROR(FIND("M-3SII",B311),-1)&gt;0,"J_M3S2",IFERROR(FIND("M-V",B311),-1)&gt;0,"J_M5",IFERROR(FIND("M-4S",B311),-1)&gt;0,"J_M4S",IFERROR(FIND("M-3C",B311),-1)&gt;0,"J_M3C",IFERROR(FIND("M-3S",B311),-1)&gt;0,"J_M3S",IFERROR(FIND("M-3H",B311),-1)&gt;0,"J_M3H",IFERROR(FIND("H-IIA",B311),-1)&gt;0,"J_H2A",IFERROR(FIND("H-IIB",B311),-1)&gt;0,"J_H2B",IFERROR(FIND("H-II",B311),-1)&gt;0,"J_H2",IFERROR(FIND("H-I",B311),-1)&gt;0,"J_H1",IFERROR(FIND("N-II",B311),-1)&gt;0,"J_N2",IFERROR(FIND("N-I",B311),-1)&gt;0,"J_N1",IFERROR(FIND("イプシロン",B311),-1)&gt;0,"J_E",TRUE,"")</f>
        <v/>
      </c>
      <c r="G311" t="str">
        <f t="shared" si="12"/>
        <v/>
      </c>
    </row>
    <row r="312" spans="1:10" ht="27" x14ac:dyDescent="0.15">
      <c r="A312" s="1" t="s">
        <v>760</v>
      </c>
      <c r="B312" s="2" t="s">
        <v>259</v>
      </c>
      <c r="C312">
        <f t="shared" si="11"/>
        <v>108</v>
      </c>
      <c r="D312" t="s">
        <v>1238</v>
      </c>
      <c r="E312" t="str" cm="1">
        <f t="array" ref="E312">_xlfn.IFS(IFERROR(FIND("M-3SII",B312),-1)&gt;0,"J_M3S2",IFERROR(FIND("M-V",B312),-1)&gt;0,"J_M5",IFERROR(FIND("M-4S",B312),-1)&gt;0,"J_M4S",IFERROR(FIND("M-3C",B312),-1)&gt;0,"J_M3C",IFERROR(FIND("M-3S",B312),-1)&gt;0,"J_M3S",IFERROR(FIND("M-3H",B312),-1)&gt;0,"J_M3H",IFERROR(FIND("H-IIA",B312),-1)&gt;0,"J_H2A",IFERROR(FIND("H-IIB",B312),-1)&gt;0,"J_H2B",IFERROR(FIND("H-II",B312),-1)&gt;0,"J_H2",IFERROR(FIND("H-I",B312),-1)&gt;0,"J_H1",IFERROR(FIND("N-II",B312),-1)&gt;0,"J_N2",IFERROR(FIND("N-I",B312),-1)&gt;0,"J_N1",IFERROR(FIND("イプシロン",B312),-1)&gt;0,"J_E",TRUE,"")</f>
        <v/>
      </c>
      <c r="G312" t="str">
        <f t="shared" si="12"/>
        <v/>
      </c>
    </row>
    <row r="313" spans="1:10" ht="27" x14ac:dyDescent="0.15">
      <c r="A313" s="1" t="s">
        <v>761</v>
      </c>
      <c r="B313" s="2" t="s">
        <v>260</v>
      </c>
      <c r="C313">
        <f t="shared" si="11"/>
        <v>98</v>
      </c>
      <c r="D313" t="s">
        <v>1507</v>
      </c>
      <c r="E313" t="str" cm="1">
        <f t="array" ref="E313">_xlfn.IFS(IFERROR(FIND("M-3SII",B313),-1)&gt;0,"J_M3S2",IFERROR(FIND("M-V",B313),-1)&gt;0,"J_M5",IFERROR(FIND("M-4S",B313),-1)&gt;0,"J_M4S",IFERROR(FIND("M-3C",B313),-1)&gt;0,"J_M3C",IFERROR(FIND("M-3S",B313),-1)&gt;0,"J_M3S",IFERROR(FIND("M-3H",B313),-1)&gt;0,"J_M3H",IFERROR(FIND("H-IIA",B313),-1)&gt;0,"J_H2A",IFERROR(FIND("H-IIB",B313),-1)&gt;0,"J_H2B",IFERROR(FIND("H-II",B313),-1)&gt;0,"J_H2",IFERROR(FIND("H-I",B313),-1)&gt;0,"J_H1",IFERROR(FIND("N-II",B313),-1)&gt;0,"J_N2",IFERROR(FIND("N-I",B313),-1)&gt;0,"J_N1",IFERROR(FIND("イプシロン",B313),-1)&gt;0,"J_E",TRUE,"")</f>
        <v/>
      </c>
      <c r="G313" t="str">
        <f t="shared" si="12"/>
        <v/>
      </c>
    </row>
    <row r="314" spans="1:10" ht="27" x14ac:dyDescent="0.15">
      <c r="A314" s="1" t="s">
        <v>762</v>
      </c>
      <c r="B314" s="2" t="s">
        <v>991</v>
      </c>
      <c r="C314">
        <f t="shared" si="11"/>
        <v>111</v>
      </c>
      <c r="D314" t="s">
        <v>1239</v>
      </c>
      <c r="E314" t="str" cm="1">
        <f t="array" ref="E314">_xlfn.IFS(IFERROR(FIND("M-3SII",B314),-1)&gt;0,"J_M3S2",IFERROR(FIND("M-V",B314),-1)&gt;0,"J_M5",IFERROR(FIND("M-4S",B314),-1)&gt;0,"J_M4S",IFERROR(FIND("M-3C",B314),-1)&gt;0,"J_M3C",IFERROR(FIND("M-3S",B314),-1)&gt;0,"J_M3S",IFERROR(FIND("M-3H",B314),-1)&gt;0,"J_M3H",IFERROR(FIND("H-IIA",B314),-1)&gt;0,"J_H2A",IFERROR(FIND("H-IIB",B314),-1)&gt;0,"J_H2B",IFERROR(FIND("H-II",B314),-1)&gt;0,"J_H2",IFERROR(FIND("H-I",B314),-1)&gt;0,"J_H1",IFERROR(FIND("N-II",B314),-1)&gt;0,"J_N2",IFERROR(FIND("N-I",B314),-1)&gt;0,"J_N1",IFERROR(FIND("イプシロン",B314),-1)&gt;0,"J_E",TRUE,"")</f>
        <v/>
      </c>
      <c r="G314" t="str">
        <f t="shared" si="12"/>
        <v/>
      </c>
      <c r="H314">
        <v>20170515</v>
      </c>
      <c r="I314" t="s">
        <v>1004</v>
      </c>
    </row>
    <row r="315" spans="1:10" ht="27" x14ac:dyDescent="0.15">
      <c r="A315" s="1" t="s">
        <v>763</v>
      </c>
      <c r="B315" s="2" t="s">
        <v>261</v>
      </c>
      <c r="C315">
        <f t="shared" si="11"/>
        <v>105</v>
      </c>
      <c r="D315" t="s">
        <v>1508</v>
      </c>
      <c r="E315" t="str" cm="1">
        <f t="array" ref="E315">_xlfn.IFS(IFERROR(FIND("M-3SII",B315),-1)&gt;0,"J_M3S2",IFERROR(FIND("M-V",B315),-1)&gt;0,"J_M5",IFERROR(FIND("M-4S",B315),-1)&gt;0,"J_M4S",IFERROR(FIND("M-3C",B315),-1)&gt;0,"J_M3C",IFERROR(FIND("M-3S",B315),-1)&gt;0,"J_M3S",IFERROR(FIND("M-3H",B315),-1)&gt;0,"J_M3H",IFERROR(FIND("H-IIA",B315),-1)&gt;0,"J_H2A",IFERROR(FIND("H-IIB",B315),-1)&gt;0,"J_H2B",IFERROR(FIND("H-II",B315),-1)&gt;0,"J_H2",IFERROR(FIND("H-I",B315),-1)&gt;0,"J_H1",IFERROR(FIND("N-II",B315),-1)&gt;0,"J_N2",IFERROR(FIND("N-I",B315),-1)&gt;0,"J_N1",IFERROR(FIND("イプシロン",B315),-1)&gt;0,"J_E",TRUE,"")</f>
        <v/>
      </c>
      <c r="G315" t="str">
        <f t="shared" si="12"/>
        <v/>
      </c>
    </row>
    <row r="316" spans="1:10" ht="27" x14ac:dyDescent="0.15">
      <c r="A316" s="1" t="s">
        <v>765</v>
      </c>
      <c r="B316" s="2" t="s">
        <v>263</v>
      </c>
      <c r="C316">
        <f t="shared" si="11"/>
        <v>92</v>
      </c>
      <c r="D316" t="s">
        <v>1509</v>
      </c>
      <c r="E316" t="str" cm="1">
        <f t="array" ref="E316">_xlfn.IFS(IFERROR(FIND("M-3SII",B316),-1)&gt;0,"J_M3S2",IFERROR(FIND("M-V",B316),-1)&gt;0,"J_M5",IFERROR(FIND("M-4S",B316),-1)&gt;0,"J_M4S",IFERROR(FIND("M-3C",B316),-1)&gt;0,"J_M3C",IFERROR(FIND("M-3S",B316),-1)&gt;0,"J_M3S",IFERROR(FIND("M-3H",B316),-1)&gt;0,"J_M3H",IFERROR(FIND("H-IIA",B316),-1)&gt;0,"J_H2A",IFERROR(FIND("H-IIB",B316),-1)&gt;0,"J_H2B",IFERROR(FIND("H-II",B316),-1)&gt;0,"J_H2",IFERROR(FIND("H-I",B316),-1)&gt;0,"J_H1",IFERROR(FIND("N-II",B316),-1)&gt;0,"J_N2",IFERROR(FIND("N-I",B316),-1)&gt;0,"J_N1",IFERROR(FIND("イプシロン",B316),-1)&gt;0,"J_E",TRUE,"")</f>
        <v/>
      </c>
      <c r="G316" t="str">
        <f t="shared" si="12"/>
        <v/>
      </c>
    </row>
    <row r="317" spans="1:10" ht="27" x14ac:dyDescent="0.15">
      <c r="A317" s="1" t="s">
        <v>764</v>
      </c>
      <c r="B317" s="2" t="s">
        <v>262</v>
      </c>
      <c r="C317">
        <f t="shared" si="11"/>
        <v>97</v>
      </c>
      <c r="D317" t="s">
        <v>1240</v>
      </c>
      <c r="E317" t="str" cm="1">
        <f t="array" ref="E317">_xlfn.IFS(IFERROR(FIND("M-3SII",B317),-1)&gt;0,"J_M3S2",IFERROR(FIND("M-V",B317),-1)&gt;0,"J_M5",IFERROR(FIND("M-4S",B317),-1)&gt;0,"J_M4S",IFERROR(FIND("M-3C",B317),-1)&gt;0,"J_M3C",IFERROR(FIND("M-3S",B317),-1)&gt;0,"J_M3S",IFERROR(FIND("M-3H",B317),-1)&gt;0,"J_M3H",IFERROR(FIND("H-IIA",B317),-1)&gt;0,"J_H2A",IFERROR(FIND("H-IIB",B317),-1)&gt;0,"J_H2B",IFERROR(FIND("H-II",B317),-1)&gt;0,"J_H2",IFERROR(FIND("H-I",B317),-1)&gt;0,"J_H1",IFERROR(FIND("N-II",B317),-1)&gt;0,"J_N2",IFERROR(FIND("N-I",B317),-1)&gt;0,"J_N1",IFERROR(FIND("イプシロン",B317),-1)&gt;0,"J_E",TRUE,"")</f>
        <v/>
      </c>
      <c r="G317" t="str">
        <f t="shared" si="12"/>
        <v/>
      </c>
    </row>
    <row r="318" spans="1:10" ht="27" x14ac:dyDescent="0.15">
      <c r="A318" s="1" t="s">
        <v>766</v>
      </c>
      <c r="B318" s="2" t="s">
        <v>264</v>
      </c>
      <c r="C318">
        <f t="shared" si="11"/>
        <v>109</v>
      </c>
      <c r="D318" t="s">
        <v>1241</v>
      </c>
      <c r="E318" t="str" cm="1">
        <f t="array" ref="E318">_xlfn.IFS(IFERROR(FIND("M-3SII",B318),-1)&gt;0,"J_M3S2",IFERROR(FIND("M-V",B318),-1)&gt;0,"J_M5",IFERROR(FIND("M-4S",B318),-1)&gt;0,"J_M4S",IFERROR(FIND("M-3C",B318),-1)&gt;0,"J_M3C",IFERROR(FIND("M-3S",B318),-1)&gt;0,"J_M3S",IFERROR(FIND("M-3H",B318),-1)&gt;0,"J_M3H",IFERROR(FIND("H-IIA",B318),-1)&gt;0,"J_H2A",IFERROR(FIND("H-IIB",B318),-1)&gt;0,"J_H2B",IFERROR(FIND("H-II",B318),-1)&gt;0,"J_H2",IFERROR(FIND("H-I",B318),-1)&gt;0,"J_H1",IFERROR(FIND("N-II",B318),-1)&gt;0,"J_N2",IFERROR(FIND("N-I",B318),-1)&gt;0,"J_N1",IFERROR(FIND("イプシロン",B318),-1)&gt;0,"J_E",TRUE,"")</f>
        <v/>
      </c>
      <c r="G318" t="str">
        <f t="shared" si="12"/>
        <v/>
      </c>
    </row>
    <row r="319" spans="1:10" ht="27" x14ac:dyDescent="0.15">
      <c r="A319" s="1" t="s">
        <v>767</v>
      </c>
      <c r="B319" s="2" t="s">
        <v>265</v>
      </c>
      <c r="C319">
        <f t="shared" si="11"/>
        <v>108</v>
      </c>
      <c r="D319" t="s">
        <v>1242</v>
      </c>
      <c r="E319" t="str" cm="1">
        <f t="array" ref="E319">_xlfn.IFS(IFERROR(FIND("M-3SII",B319),-1)&gt;0,"J_M3S2",IFERROR(FIND("M-V",B319),-1)&gt;0,"J_M5",IFERROR(FIND("M-4S",B319),-1)&gt;0,"J_M4S",IFERROR(FIND("M-3C",B319),-1)&gt;0,"J_M3C",IFERROR(FIND("M-3S",B319),-1)&gt;0,"J_M3S",IFERROR(FIND("M-3H",B319),-1)&gt;0,"J_M3H",IFERROR(FIND("H-IIA",B319),-1)&gt;0,"J_H2A",IFERROR(FIND("H-IIB",B319),-1)&gt;0,"J_H2B",IFERROR(FIND("H-II",B319),-1)&gt;0,"J_H2",IFERROR(FIND("H-I",B319),-1)&gt;0,"J_H1",IFERROR(FIND("N-II",B319),-1)&gt;0,"J_N2",IFERROR(FIND("N-I",B319),-1)&gt;0,"J_N1",IFERROR(FIND("イプシロン",B319),-1)&gt;0,"J_E",TRUE,"")</f>
        <v/>
      </c>
      <c r="G319" t="str">
        <f t="shared" si="12"/>
        <v/>
      </c>
    </row>
    <row r="320" spans="1:10" ht="27" x14ac:dyDescent="0.15">
      <c r="A320" s="1" t="s">
        <v>768</v>
      </c>
      <c r="B320" s="2" t="s">
        <v>266</v>
      </c>
      <c r="C320">
        <f t="shared" si="11"/>
        <v>65</v>
      </c>
      <c r="D320" t="s">
        <v>1243</v>
      </c>
      <c r="E320" t="str" cm="1">
        <f t="array" ref="E320">_xlfn.IFS(IFERROR(FIND("M-3SII",B320),-1)&gt;0,"J_M3S2",IFERROR(FIND("M-V",B320),-1)&gt;0,"J_M5",IFERROR(FIND("M-4S",B320),-1)&gt;0,"J_M4S",IFERROR(FIND("M-3C",B320),-1)&gt;0,"J_M3C",IFERROR(FIND("M-3S",B320),-1)&gt;0,"J_M3S",IFERROR(FIND("M-3H",B320),-1)&gt;0,"J_M3H",IFERROR(FIND("H-IIA",B320),-1)&gt;0,"J_H2A",IFERROR(FIND("H-IIB",B320),-1)&gt;0,"J_H2B",IFERROR(FIND("H-II",B320),-1)&gt;0,"J_H2",IFERROR(FIND("H-I",B320),-1)&gt;0,"J_H1",IFERROR(FIND("N-II",B320),-1)&gt;0,"J_N2",IFERROR(FIND("N-I",B320),-1)&gt;0,"J_N1",IFERROR(FIND("イプシロン",B320),-1)&gt;0,"J_E",TRUE,"")</f>
        <v/>
      </c>
      <c r="G320" t="str">
        <f t="shared" si="12"/>
        <v/>
      </c>
    </row>
    <row r="321" spans="1:9" ht="27" x14ac:dyDescent="0.15">
      <c r="A321" s="1" t="s">
        <v>769</v>
      </c>
      <c r="B321" s="2" t="s">
        <v>267</v>
      </c>
      <c r="C321">
        <f t="shared" si="11"/>
        <v>106</v>
      </c>
      <c r="D321" t="s">
        <v>1244</v>
      </c>
      <c r="E321" t="str" cm="1">
        <f t="array" ref="E321">_xlfn.IFS(IFERROR(FIND("M-3SII",B321),-1)&gt;0,"J_M3S2",IFERROR(FIND("M-V",B321),-1)&gt;0,"J_M5",IFERROR(FIND("M-4S",B321),-1)&gt;0,"J_M4S",IFERROR(FIND("M-3C",B321),-1)&gt;0,"J_M3C",IFERROR(FIND("M-3S",B321),-1)&gt;0,"J_M3S",IFERROR(FIND("M-3H",B321),-1)&gt;0,"J_M3H",IFERROR(FIND("H-IIA",B321),-1)&gt;0,"J_H2A",IFERROR(FIND("H-IIB",B321),-1)&gt;0,"J_H2B",IFERROR(FIND("H-II",B321),-1)&gt;0,"J_H2",IFERROR(FIND("H-I",B321),-1)&gt;0,"J_H1",IFERROR(FIND("N-II",B321),-1)&gt;0,"J_N2",IFERROR(FIND("N-I",B321),-1)&gt;0,"J_N1",IFERROR(FIND("イプシロン",B321),-1)&gt;0,"J_E",TRUE,"")</f>
        <v/>
      </c>
      <c r="G321" t="str">
        <f t="shared" si="12"/>
        <v/>
      </c>
    </row>
    <row r="322" spans="1:9" ht="27" x14ac:dyDescent="0.15">
      <c r="A322" s="1" t="s">
        <v>770</v>
      </c>
      <c r="B322" s="2" t="s">
        <v>268</v>
      </c>
      <c r="C322">
        <f t="shared" si="11"/>
        <v>104</v>
      </c>
      <c r="D322" t="s">
        <v>1245</v>
      </c>
      <c r="E322" t="str" cm="1">
        <f t="array" ref="E322">_xlfn.IFS(IFERROR(FIND("M-3SII",B322),-1)&gt;0,"J_M3S2",IFERROR(FIND("M-V",B322),-1)&gt;0,"J_M5",IFERROR(FIND("M-4S",B322),-1)&gt;0,"J_M4S",IFERROR(FIND("M-3C",B322),-1)&gt;0,"J_M3C",IFERROR(FIND("M-3S",B322),-1)&gt;0,"J_M3S",IFERROR(FIND("M-3H",B322),-1)&gt;0,"J_M3H",IFERROR(FIND("H-IIA",B322),-1)&gt;0,"J_H2A",IFERROR(FIND("H-IIB",B322),-1)&gt;0,"J_H2B",IFERROR(FIND("H-II",B322),-1)&gt;0,"J_H2",IFERROR(FIND("H-I",B322),-1)&gt;0,"J_H1",IFERROR(FIND("N-II",B322),-1)&gt;0,"J_N2",IFERROR(FIND("N-I",B322),-1)&gt;0,"J_N1",IFERROR(FIND("イプシロン",B322),-1)&gt;0,"J_E",TRUE,"")</f>
        <v/>
      </c>
      <c r="G322" t="str">
        <f t="shared" si="12"/>
        <v/>
      </c>
    </row>
    <row r="323" spans="1:9" ht="27" x14ac:dyDescent="0.15">
      <c r="A323" s="1" t="s">
        <v>771</v>
      </c>
      <c r="B323" s="2" t="s">
        <v>269</v>
      </c>
      <c r="C323">
        <f t="shared" si="11"/>
        <v>110</v>
      </c>
      <c r="D323" t="s">
        <v>1246</v>
      </c>
      <c r="E323" t="str" cm="1">
        <f t="array" ref="E323">_xlfn.IFS(IFERROR(FIND("M-3SII",B323),-1)&gt;0,"J_M3S2",IFERROR(FIND("M-V",B323),-1)&gt;0,"J_M5",IFERROR(FIND("M-4S",B323),-1)&gt;0,"J_M4S",IFERROR(FIND("M-3C",B323),-1)&gt;0,"J_M3C",IFERROR(FIND("M-3S",B323),-1)&gt;0,"J_M3S",IFERROR(FIND("M-3H",B323),-1)&gt;0,"J_M3H",IFERROR(FIND("H-IIA",B323),-1)&gt;0,"J_H2A",IFERROR(FIND("H-IIB",B323),-1)&gt;0,"J_H2B",IFERROR(FIND("H-II",B323),-1)&gt;0,"J_H2",IFERROR(FIND("H-I",B323),-1)&gt;0,"J_H1",IFERROR(FIND("N-II",B323),-1)&gt;0,"J_N2",IFERROR(FIND("N-I",B323),-1)&gt;0,"J_N1",IFERROR(FIND("イプシロン",B323),-1)&gt;0,"J_E",TRUE,"")</f>
        <v/>
      </c>
      <c r="G323" t="str">
        <f t="shared" si="12"/>
        <v/>
      </c>
    </row>
    <row r="324" spans="1:9" ht="27" x14ac:dyDescent="0.15">
      <c r="A324" s="1" t="s">
        <v>772</v>
      </c>
      <c r="B324" s="2" t="s">
        <v>270</v>
      </c>
      <c r="C324">
        <f t="shared" si="11"/>
        <v>84</v>
      </c>
      <c r="D324" t="s">
        <v>1247</v>
      </c>
      <c r="E324" t="str" cm="1">
        <f t="array" ref="E324">_xlfn.IFS(IFERROR(FIND("M-3SII",B324),-1)&gt;0,"J_M3S2",IFERROR(FIND("M-V",B324),-1)&gt;0,"J_M5",IFERROR(FIND("M-4S",B324),-1)&gt;0,"J_M4S",IFERROR(FIND("M-3C",B324),-1)&gt;0,"J_M3C",IFERROR(FIND("M-3S",B324),-1)&gt;0,"J_M3S",IFERROR(FIND("M-3H",B324),-1)&gt;0,"J_M3H",IFERROR(FIND("H-IIA",B324),-1)&gt;0,"J_H2A",IFERROR(FIND("H-IIB",B324),-1)&gt;0,"J_H2B",IFERROR(FIND("H-II",B324),-1)&gt;0,"J_H2",IFERROR(FIND("H-I",B324),-1)&gt;0,"J_H1",IFERROR(FIND("N-II",B324),-1)&gt;0,"J_N2",IFERROR(FIND("N-I",B324),-1)&gt;0,"J_N1",IFERROR(FIND("イプシロン",B324),-1)&gt;0,"J_E",TRUE,"")</f>
        <v/>
      </c>
      <c r="G324" t="str">
        <f t="shared" si="12"/>
        <v/>
      </c>
    </row>
    <row r="325" spans="1:9" ht="27" x14ac:dyDescent="0.15">
      <c r="A325" s="1" t="s">
        <v>773</v>
      </c>
      <c r="B325" s="2" t="s">
        <v>271</v>
      </c>
      <c r="C325">
        <f t="shared" si="11"/>
        <v>102</v>
      </c>
      <c r="D325" t="s">
        <v>1510</v>
      </c>
      <c r="E325" t="str" cm="1">
        <f t="array" ref="E325">_xlfn.IFS(IFERROR(FIND("M-3SII",B325),-1)&gt;0,"J_M3S2",IFERROR(FIND("M-V",B325),-1)&gt;0,"J_M5",IFERROR(FIND("M-4S",B325),-1)&gt;0,"J_M4S",IFERROR(FIND("M-3C",B325),-1)&gt;0,"J_M3C",IFERROR(FIND("M-3S",B325),-1)&gt;0,"J_M3S",IFERROR(FIND("M-3H",B325),-1)&gt;0,"J_M3H",IFERROR(FIND("H-IIA",B325),-1)&gt;0,"J_H2A",IFERROR(FIND("H-IIB",B325),-1)&gt;0,"J_H2B",IFERROR(FIND("H-II",B325),-1)&gt;0,"J_H2",IFERROR(FIND("H-I",B325),-1)&gt;0,"J_H1",IFERROR(FIND("N-II",B325),-1)&gt;0,"J_N2",IFERROR(FIND("N-I",B325),-1)&gt;0,"J_N1",IFERROR(FIND("イプシロン",B325),-1)&gt;0,"J_E",TRUE,"")</f>
        <v/>
      </c>
      <c r="G325" t="str">
        <f t="shared" si="12"/>
        <v/>
      </c>
    </row>
    <row r="326" spans="1:9" ht="40.5" x14ac:dyDescent="0.15">
      <c r="A326" s="1" t="s">
        <v>775</v>
      </c>
      <c r="B326" s="2" t="s">
        <v>1032</v>
      </c>
      <c r="C326">
        <f t="shared" si="11"/>
        <v>132</v>
      </c>
      <c r="D326" t="s">
        <v>1249</v>
      </c>
      <c r="E326" t="str" cm="1">
        <f t="array" ref="E326">_xlfn.IFS(IFERROR(FIND("M-3SII",B326),-1)&gt;0,"J_M3S2",IFERROR(FIND("M-V",B326),-1)&gt;0,"J_M5",IFERROR(FIND("M-4S",B326),-1)&gt;0,"J_M4S",IFERROR(FIND("M-3C",B326),-1)&gt;0,"J_M3C",IFERROR(FIND("M-3S",B326),-1)&gt;0,"J_M3S",IFERROR(FIND("M-3H",B326),-1)&gt;0,"J_M3H",IFERROR(FIND("H-IIA",B326),-1)&gt;0,"J_H2A",IFERROR(FIND("H-IIB",B326),-1)&gt;0,"J_H2B",IFERROR(FIND("H-II",B326),-1)&gt;0,"J_H2",IFERROR(FIND("H-I",B326),-1)&gt;0,"J_H1",IFERROR(FIND("N-II",B326),-1)&gt;0,"J_N2",IFERROR(FIND("N-I",B326),-1)&gt;0,"J_N1",IFERROR(FIND("イプシロン",B326),-1)&gt;0,"J_E",TRUE,"")</f>
        <v/>
      </c>
      <c r="G326" t="str">
        <f t="shared" si="12"/>
        <v/>
      </c>
      <c r="H326">
        <v>20230208</v>
      </c>
      <c r="I326" t="s">
        <v>1004</v>
      </c>
    </row>
    <row r="327" spans="1:9" x14ac:dyDescent="0.15">
      <c r="A327" s="1" t="s">
        <v>774</v>
      </c>
      <c r="B327" s="2" t="s">
        <v>272</v>
      </c>
      <c r="C327">
        <f t="shared" si="11"/>
        <v>63</v>
      </c>
      <c r="D327" t="s">
        <v>1511</v>
      </c>
      <c r="E327" t="str" cm="1">
        <f t="array" ref="E327">_xlfn.IFS(IFERROR(FIND("M-3SII",B327),-1)&gt;0,"J_M3S2",IFERROR(FIND("M-V",B327),-1)&gt;0,"J_M5",IFERROR(FIND("M-4S",B327),-1)&gt;0,"J_M4S",IFERROR(FIND("M-3C",B327),-1)&gt;0,"J_M3C",IFERROR(FIND("M-3S",B327),-1)&gt;0,"J_M3S",IFERROR(FIND("M-3H",B327),-1)&gt;0,"J_M3H",IFERROR(FIND("H-IIA",B327),-1)&gt;0,"J_H2A",IFERROR(FIND("H-IIB",B327),-1)&gt;0,"J_H2B",IFERROR(FIND("H-II",B327),-1)&gt;0,"J_H2",IFERROR(FIND("H-I",B327),-1)&gt;0,"J_H1",IFERROR(FIND("N-II",B327),-1)&gt;0,"J_N2",IFERROR(FIND("N-I",B327),-1)&gt;0,"J_N1",IFERROR(FIND("イプシロン",B327),-1)&gt;0,"J_E",TRUE,"")</f>
        <v/>
      </c>
      <c r="G327" t="str">
        <f t="shared" si="12"/>
        <v/>
      </c>
    </row>
    <row r="328" spans="1:9" ht="27" x14ac:dyDescent="0.15">
      <c r="A328" s="1" t="s">
        <v>776</v>
      </c>
      <c r="B328" s="2" t="s">
        <v>273</v>
      </c>
      <c r="C328">
        <f t="shared" si="11"/>
        <v>95</v>
      </c>
      <c r="D328" t="s">
        <v>1248</v>
      </c>
      <c r="E328" t="str" cm="1">
        <f t="array" ref="E328">_xlfn.IFS(IFERROR(FIND("M-3SII",B328),-1)&gt;0,"J_M3S2",IFERROR(FIND("M-V",B328),-1)&gt;0,"J_M5",IFERROR(FIND("M-4S",B328),-1)&gt;0,"J_M4S",IFERROR(FIND("M-3C",B328),-1)&gt;0,"J_M3C",IFERROR(FIND("M-3S",B328),-1)&gt;0,"J_M3S",IFERROR(FIND("M-3H",B328),-1)&gt;0,"J_M3H",IFERROR(FIND("H-IIA",B328),-1)&gt;0,"J_H2A",IFERROR(FIND("H-IIB",B328),-1)&gt;0,"J_H2B",IFERROR(FIND("H-II",B328),-1)&gt;0,"J_H2",IFERROR(FIND("H-I",B328),-1)&gt;0,"J_H1",IFERROR(FIND("N-II",B328),-1)&gt;0,"J_N2",IFERROR(FIND("N-I",B328),-1)&gt;0,"J_N1",IFERROR(FIND("イプシロン",B328),-1)&gt;0,"J_E",TRUE,"")</f>
        <v/>
      </c>
      <c r="G328" t="str">
        <f t="shared" si="12"/>
        <v/>
      </c>
    </row>
    <row r="329" spans="1:9" ht="27" x14ac:dyDescent="0.15">
      <c r="A329" s="1" t="s">
        <v>777</v>
      </c>
      <c r="B329" s="2" t="s">
        <v>274</v>
      </c>
      <c r="C329">
        <f t="shared" si="11"/>
        <v>76</v>
      </c>
      <c r="D329" t="s">
        <v>1250</v>
      </c>
      <c r="E329" t="str" cm="1">
        <f t="array" ref="E329">_xlfn.IFS(IFERROR(FIND("M-3SII",B329),-1)&gt;0,"J_M3S2",IFERROR(FIND("M-V",B329),-1)&gt;0,"J_M5",IFERROR(FIND("M-4S",B329),-1)&gt;0,"J_M4S",IFERROR(FIND("M-3C",B329),-1)&gt;0,"J_M3C",IFERROR(FIND("M-3S",B329),-1)&gt;0,"J_M3S",IFERROR(FIND("M-3H",B329),-1)&gt;0,"J_M3H",IFERROR(FIND("H-IIA",B329),-1)&gt;0,"J_H2A",IFERROR(FIND("H-IIB",B329),-1)&gt;0,"J_H2B",IFERROR(FIND("H-II",B329),-1)&gt;0,"J_H2",IFERROR(FIND("H-I",B329),-1)&gt;0,"J_H1",IFERROR(FIND("N-II",B329),-1)&gt;0,"J_N2",IFERROR(FIND("N-I",B329),-1)&gt;0,"J_N1",IFERROR(FIND("イプシロン",B329),-1)&gt;0,"J_E",TRUE,"")</f>
        <v/>
      </c>
      <c r="G329" t="str">
        <f t="shared" si="12"/>
        <v/>
      </c>
    </row>
    <row r="330" spans="1:9" ht="27" x14ac:dyDescent="0.15">
      <c r="A330" s="1" t="s">
        <v>778</v>
      </c>
      <c r="B330" s="2" t="s">
        <v>275</v>
      </c>
      <c r="C330">
        <f t="shared" si="11"/>
        <v>110</v>
      </c>
      <c r="D330" t="s">
        <v>1512</v>
      </c>
      <c r="E330" t="str" cm="1">
        <f t="array" ref="E330">_xlfn.IFS(IFERROR(FIND("M-3SII",B330),-1)&gt;0,"J_M3S2",IFERROR(FIND("M-V",B330),-1)&gt;0,"J_M5",IFERROR(FIND("M-4S",B330),-1)&gt;0,"J_M4S",IFERROR(FIND("M-3C",B330),-1)&gt;0,"J_M3C",IFERROR(FIND("M-3S",B330),-1)&gt;0,"J_M3S",IFERROR(FIND("M-3H",B330),-1)&gt;0,"J_M3H",IFERROR(FIND("H-IIA",B330),-1)&gt;0,"J_H2A",IFERROR(FIND("H-IIB",B330),-1)&gt;0,"J_H2B",IFERROR(FIND("H-II",B330),-1)&gt;0,"J_H2",IFERROR(FIND("H-I",B330),-1)&gt;0,"J_H1",IFERROR(FIND("N-II",B330),-1)&gt;0,"J_N2",IFERROR(FIND("N-I",B330),-1)&gt;0,"J_N1",IFERROR(FIND("イプシロン",B330),-1)&gt;0,"J_E",TRUE,"")</f>
        <v/>
      </c>
      <c r="G330" t="str">
        <f t="shared" si="12"/>
        <v/>
      </c>
    </row>
    <row r="331" spans="1:9" ht="27" x14ac:dyDescent="0.15">
      <c r="A331" s="1" t="s">
        <v>779</v>
      </c>
      <c r="B331" s="2" t="s">
        <v>276</v>
      </c>
      <c r="C331">
        <f t="shared" si="11"/>
        <v>73</v>
      </c>
      <c r="D331" t="s">
        <v>1251</v>
      </c>
      <c r="E331" t="str" cm="1">
        <f t="array" ref="E331">_xlfn.IFS(IFERROR(FIND("M-3SII",B331),-1)&gt;0,"J_M3S2",IFERROR(FIND("M-V",B331),-1)&gt;0,"J_M5",IFERROR(FIND("M-4S",B331),-1)&gt;0,"J_M4S",IFERROR(FIND("M-3C",B331),-1)&gt;0,"J_M3C",IFERROR(FIND("M-3S",B331),-1)&gt;0,"J_M3S",IFERROR(FIND("M-3H",B331),-1)&gt;0,"J_M3H",IFERROR(FIND("H-IIA",B331),-1)&gt;0,"J_H2A",IFERROR(FIND("H-IIB",B331),-1)&gt;0,"J_H2B",IFERROR(FIND("H-II",B331),-1)&gt;0,"J_H2",IFERROR(FIND("H-I",B331),-1)&gt;0,"J_H1",IFERROR(FIND("N-II",B331),-1)&gt;0,"J_N2",IFERROR(FIND("N-I",B331),-1)&gt;0,"J_N1",IFERROR(FIND("イプシロン",B331),-1)&gt;0,"J_E",TRUE,"")</f>
        <v/>
      </c>
      <c r="G331" t="str">
        <f t="shared" si="12"/>
        <v/>
      </c>
    </row>
    <row r="332" spans="1:9" ht="27" x14ac:dyDescent="0.15">
      <c r="A332" s="1" t="s">
        <v>780</v>
      </c>
      <c r="B332" s="2" t="s">
        <v>277</v>
      </c>
      <c r="C332">
        <f t="shared" si="11"/>
        <v>78</v>
      </c>
      <c r="D332" t="s">
        <v>1252</v>
      </c>
      <c r="E332" t="str" cm="1">
        <f t="array" ref="E332">_xlfn.IFS(IFERROR(FIND("M-3SII",B332),-1)&gt;0,"J_M3S2",IFERROR(FIND("M-V",B332),-1)&gt;0,"J_M5",IFERROR(FIND("M-4S",B332),-1)&gt;0,"J_M4S",IFERROR(FIND("M-3C",B332),-1)&gt;0,"J_M3C",IFERROR(FIND("M-3S",B332),-1)&gt;0,"J_M3S",IFERROR(FIND("M-3H",B332),-1)&gt;0,"J_M3H",IFERROR(FIND("H-IIA",B332),-1)&gt;0,"J_H2A",IFERROR(FIND("H-IIB",B332),-1)&gt;0,"J_H2B",IFERROR(FIND("H-II",B332),-1)&gt;0,"J_H2",IFERROR(FIND("H-I",B332),-1)&gt;0,"J_H1",IFERROR(FIND("N-II",B332),-1)&gt;0,"J_N2",IFERROR(FIND("N-I",B332),-1)&gt;0,"J_N1",IFERROR(FIND("イプシロン",B332),-1)&gt;0,"J_E",TRUE,"")</f>
        <v/>
      </c>
      <c r="G332" t="str">
        <f t="shared" si="12"/>
        <v/>
      </c>
    </row>
    <row r="333" spans="1:9" ht="27" x14ac:dyDescent="0.15">
      <c r="A333" s="1" t="s">
        <v>781</v>
      </c>
      <c r="B333" s="2" t="s">
        <v>278</v>
      </c>
      <c r="C333">
        <f t="shared" si="11"/>
        <v>79</v>
      </c>
      <c r="D333" t="s">
        <v>1253</v>
      </c>
      <c r="E333" t="str" cm="1">
        <f t="array" ref="E333">_xlfn.IFS(IFERROR(FIND("M-3SII",B333),-1)&gt;0,"J_M3S2",IFERROR(FIND("M-V",B333),-1)&gt;0,"J_M5",IFERROR(FIND("M-4S",B333),-1)&gt;0,"J_M4S",IFERROR(FIND("M-3C",B333),-1)&gt;0,"J_M3C",IFERROR(FIND("M-3S",B333),-1)&gt;0,"J_M3S",IFERROR(FIND("M-3H",B333),-1)&gt;0,"J_M3H",IFERROR(FIND("H-IIA",B333),-1)&gt;0,"J_H2A",IFERROR(FIND("H-IIB",B333),-1)&gt;0,"J_H2B",IFERROR(FIND("H-II",B333),-1)&gt;0,"J_H2",IFERROR(FIND("H-I",B333),-1)&gt;0,"J_H1",IFERROR(FIND("N-II",B333),-1)&gt;0,"J_N2",IFERROR(FIND("N-I",B333),-1)&gt;0,"J_N1",IFERROR(FIND("イプシロン",B333),-1)&gt;0,"J_E",TRUE,"")</f>
        <v/>
      </c>
      <c r="G333" t="str">
        <f t="shared" si="12"/>
        <v/>
      </c>
    </row>
    <row r="334" spans="1:9" ht="27" x14ac:dyDescent="0.15">
      <c r="A334" s="1" t="s">
        <v>782</v>
      </c>
      <c r="B334" s="2" t="s">
        <v>279</v>
      </c>
      <c r="C334">
        <f t="shared" ref="C334:C402" si="15">LEN(B334)</f>
        <v>102</v>
      </c>
      <c r="D334" t="s">
        <v>1254</v>
      </c>
      <c r="E334" t="str" cm="1">
        <f t="array" ref="E334">_xlfn.IFS(IFERROR(FIND("M-3SII",B334),-1)&gt;0,"J_M3S2",IFERROR(FIND("M-V",B334),-1)&gt;0,"J_M5",IFERROR(FIND("M-4S",B334),-1)&gt;0,"J_M4S",IFERROR(FIND("M-3C",B334),-1)&gt;0,"J_M3C",IFERROR(FIND("M-3S",B334),-1)&gt;0,"J_M3S",IFERROR(FIND("M-3H",B334),-1)&gt;0,"J_M3H",IFERROR(FIND("H-IIA",B334),-1)&gt;0,"J_H2A",IFERROR(FIND("H-IIB",B334),-1)&gt;0,"J_H2B",IFERROR(FIND("H-II",B334),-1)&gt;0,"J_H2",IFERROR(FIND("H-I",B334),-1)&gt;0,"J_H1",IFERROR(FIND("N-II",B334),-1)&gt;0,"J_N2",IFERROR(FIND("N-I",B334),-1)&gt;0,"J_N1",IFERROR(FIND("イプシロン",B334),-1)&gt;0,"J_E",TRUE,"")</f>
        <v/>
      </c>
      <c r="G334" t="str">
        <f t="shared" si="12"/>
        <v/>
      </c>
    </row>
    <row r="335" spans="1:9" ht="27" x14ac:dyDescent="0.15">
      <c r="A335" s="1" t="s">
        <v>783</v>
      </c>
      <c r="B335" s="2" t="s">
        <v>280</v>
      </c>
      <c r="C335">
        <f t="shared" si="15"/>
        <v>88</v>
      </c>
      <c r="D335" t="s">
        <v>1255</v>
      </c>
      <c r="E335" t="str" cm="1">
        <f t="array" ref="E335">_xlfn.IFS(IFERROR(FIND("M-3SII",B335),-1)&gt;0,"J_M3S2",IFERROR(FIND("M-V",B335),-1)&gt;0,"J_M5",IFERROR(FIND("M-4S",B335),-1)&gt;0,"J_M4S",IFERROR(FIND("M-3C",B335),-1)&gt;0,"J_M3C",IFERROR(FIND("M-3S",B335),-1)&gt;0,"J_M3S",IFERROR(FIND("M-3H",B335),-1)&gt;0,"J_M3H",IFERROR(FIND("H-IIA",B335),-1)&gt;0,"J_H2A",IFERROR(FIND("H-IIB",B335),-1)&gt;0,"J_H2B",IFERROR(FIND("H-II",B335),-1)&gt;0,"J_H2",IFERROR(FIND("H-I",B335),-1)&gt;0,"J_H1",IFERROR(FIND("N-II",B335),-1)&gt;0,"J_N2",IFERROR(FIND("N-I",B335),-1)&gt;0,"J_N1",IFERROR(FIND("イプシロン",B335),-1)&gt;0,"J_E",TRUE,"")</f>
        <v/>
      </c>
      <c r="G335" t="str">
        <f t="shared" ref="G335:G403" si="16">IF(E335&lt;&gt;"",E335&amp;"_"&amp;F335,"")</f>
        <v/>
      </c>
    </row>
    <row r="336" spans="1:9" ht="27" x14ac:dyDescent="0.15">
      <c r="A336" s="1" t="s">
        <v>784</v>
      </c>
      <c r="B336" s="2" t="s">
        <v>281</v>
      </c>
      <c r="C336">
        <f t="shared" si="15"/>
        <v>92</v>
      </c>
      <c r="D336" t="s">
        <v>1256</v>
      </c>
      <c r="E336" t="str" cm="1">
        <f t="array" ref="E336">_xlfn.IFS(IFERROR(FIND("M-3SII",B336),-1)&gt;0,"J_M3S2",IFERROR(FIND("M-V",B336),-1)&gt;0,"J_M5",IFERROR(FIND("M-4S",B336),-1)&gt;0,"J_M4S",IFERROR(FIND("M-3C",B336),-1)&gt;0,"J_M3C",IFERROR(FIND("M-3S",B336),-1)&gt;0,"J_M3S",IFERROR(FIND("M-3H",B336),-1)&gt;0,"J_M3H",IFERROR(FIND("H-IIA",B336),-1)&gt;0,"J_H2A",IFERROR(FIND("H-IIB",B336),-1)&gt;0,"J_H2B",IFERROR(FIND("H-II",B336),-1)&gt;0,"J_H2",IFERROR(FIND("H-I",B336),-1)&gt;0,"J_H1",IFERROR(FIND("N-II",B336),-1)&gt;0,"J_N2",IFERROR(FIND("N-I",B336),-1)&gt;0,"J_N1",IFERROR(FIND("イプシロン",B336),-1)&gt;0,"J_E",TRUE,"")</f>
        <v/>
      </c>
      <c r="G336" t="str">
        <f t="shared" si="16"/>
        <v/>
      </c>
    </row>
    <row r="337" spans="1:9" ht="27" x14ac:dyDescent="0.15">
      <c r="A337" s="1" t="s">
        <v>786</v>
      </c>
      <c r="B337" s="2" t="s">
        <v>283</v>
      </c>
      <c r="C337">
        <f t="shared" si="15"/>
        <v>98</v>
      </c>
      <c r="D337" t="s">
        <v>1258</v>
      </c>
      <c r="E337" t="str" cm="1">
        <f t="array" ref="E337">_xlfn.IFS(IFERROR(FIND("M-3SII",B337),-1)&gt;0,"J_M3S2",IFERROR(FIND("M-V",B337),-1)&gt;0,"J_M5",IFERROR(FIND("M-4S",B337),-1)&gt;0,"J_M4S",IFERROR(FIND("M-3C",B337),-1)&gt;0,"J_M3C",IFERROR(FIND("M-3S",B337),-1)&gt;0,"J_M3S",IFERROR(FIND("M-3H",B337),-1)&gt;0,"J_M3H",IFERROR(FIND("H-IIA",B337),-1)&gt;0,"J_H2A",IFERROR(FIND("H-IIB",B337),-1)&gt;0,"J_H2B",IFERROR(FIND("H-II",B337),-1)&gt;0,"J_H2",IFERROR(FIND("H-I",B337),-1)&gt;0,"J_H1",IFERROR(FIND("N-II",B337),-1)&gt;0,"J_N2",IFERROR(FIND("N-I",B337),-1)&gt;0,"J_N1",IFERROR(FIND("イプシロン",B337),-1)&gt;0,"J_E",TRUE,"")</f>
        <v>J_N2</v>
      </c>
      <c r="F337">
        <v>6</v>
      </c>
      <c r="G337" t="str">
        <f t="shared" si="16"/>
        <v>J_N2_6</v>
      </c>
    </row>
    <row r="338" spans="1:9" x14ac:dyDescent="0.15">
      <c r="A338" s="1" t="s">
        <v>785</v>
      </c>
      <c r="B338" s="2" t="s">
        <v>282</v>
      </c>
      <c r="C338">
        <f t="shared" si="15"/>
        <v>51</v>
      </c>
      <c r="D338" t="s">
        <v>1513</v>
      </c>
      <c r="E338" t="str" cm="1">
        <f t="array" ref="E338">_xlfn.IFS(IFERROR(FIND("M-3SII",B338),-1)&gt;0,"J_M3S2",IFERROR(FIND("M-V",B338),-1)&gt;0,"J_M5",IFERROR(FIND("M-4S",B338),-1)&gt;0,"J_M4S",IFERROR(FIND("M-3C",B338),-1)&gt;0,"J_M3C",IFERROR(FIND("M-3S",B338),-1)&gt;0,"J_M3S",IFERROR(FIND("M-3H",B338),-1)&gt;0,"J_M3H",IFERROR(FIND("H-IIA",B338),-1)&gt;0,"J_H2A",IFERROR(FIND("H-IIB",B338),-1)&gt;0,"J_H2B",IFERROR(FIND("H-II",B338),-1)&gt;0,"J_H2",IFERROR(FIND("H-I",B338),-1)&gt;0,"J_H1",IFERROR(FIND("N-II",B338),-1)&gt;0,"J_N2",IFERROR(FIND("N-I",B338),-1)&gt;0,"J_N1",IFERROR(FIND("イプシロン",B338),-1)&gt;0,"J_E",TRUE,"")</f>
        <v>J_N2</v>
      </c>
      <c r="F338">
        <v>6</v>
      </c>
      <c r="G338" t="str">
        <f t="shared" si="16"/>
        <v>J_N2_6</v>
      </c>
    </row>
    <row r="339" spans="1:9" ht="27" x14ac:dyDescent="0.15">
      <c r="A339" s="1" t="s">
        <v>787</v>
      </c>
      <c r="B339" s="2" t="s">
        <v>1008</v>
      </c>
      <c r="C339">
        <f t="shared" si="15"/>
        <v>117</v>
      </c>
      <c r="D339" t="s">
        <v>1257</v>
      </c>
      <c r="E339" t="str" cm="1">
        <f t="array" ref="E339">_xlfn.IFS(IFERROR(FIND("M-3SII",B339),-1)&gt;0,"J_M3S2",IFERROR(FIND("M-V",B339),-1)&gt;0,"J_M5",IFERROR(FIND("M-4S",B339),-1)&gt;0,"J_M4S",IFERROR(FIND("M-3C",B339),-1)&gt;0,"J_M3C",IFERROR(FIND("M-3S",B339),-1)&gt;0,"J_M3S",IFERROR(FIND("M-3H",B339),-1)&gt;0,"J_M3H",IFERROR(FIND("H-IIA",B339),-1)&gt;0,"J_H2A",IFERROR(FIND("H-IIB",B339),-1)&gt;0,"J_H2B",IFERROR(FIND("H-II",B339),-1)&gt;0,"J_H2",IFERROR(FIND("H-I",B339),-1)&gt;0,"J_H1",IFERROR(FIND("N-II",B339),-1)&gt;0,"J_N2",IFERROR(FIND("N-I",B339),-1)&gt;0,"J_N1",IFERROR(FIND("イプシロン",B339),-1)&gt;0,"J_E",TRUE,"")</f>
        <v/>
      </c>
      <c r="G339" t="str">
        <f t="shared" si="16"/>
        <v/>
      </c>
      <c r="H339">
        <v>20170808</v>
      </c>
      <c r="I339" t="s">
        <v>1015</v>
      </c>
    </row>
    <row r="340" spans="1:9" ht="27" x14ac:dyDescent="0.15">
      <c r="A340" s="1" t="s">
        <v>788</v>
      </c>
      <c r="B340" s="2" t="s">
        <v>284</v>
      </c>
      <c r="C340">
        <f t="shared" si="15"/>
        <v>78</v>
      </c>
      <c r="D340" t="s">
        <v>1259</v>
      </c>
      <c r="E340" t="str" cm="1">
        <f t="array" ref="E340">_xlfn.IFS(IFERROR(FIND("M-3SII",B340),-1)&gt;0,"J_M3S2",IFERROR(FIND("M-V",B340),-1)&gt;0,"J_M5",IFERROR(FIND("M-4S",B340),-1)&gt;0,"J_M4S",IFERROR(FIND("M-3C",B340),-1)&gt;0,"J_M3C",IFERROR(FIND("M-3S",B340),-1)&gt;0,"J_M3S",IFERROR(FIND("M-3H",B340),-1)&gt;0,"J_M3H",IFERROR(FIND("H-IIA",B340),-1)&gt;0,"J_H2A",IFERROR(FIND("H-IIB",B340),-1)&gt;0,"J_H2B",IFERROR(FIND("H-II",B340),-1)&gt;0,"J_H2",IFERROR(FIND("H-I",B340),-1)&gt;0,"J_H1",IFERROR(FIND("N-II",B340),-1)&gt;0,"J_N2",IFERROR(FIND("N-I",B340),-1)&gt;0,"J_N1",IFERROR(FIND("イプシロン",B340),-1)&gt;0,"J_E",TRUE,"")</f>
        <v/>
      </c>
      <c r="G340" t="str">
        <f t="shared" si="16"/>
        <v/>
      </c>
    </row>
    <row r="341" spans="1:9" ht="27" x14ac:dyDescent="0.15">
      <c r="A341" s="1" t="s">
        <v>790</v>
      </c>
      <c r="B341" s="2" t="s">
        <v>286</v>
      </c>
      <c r="C341">
        <f t="shared" si="15"/>
        <v>77</v>
      </c>
      <c r="D341" t="s">
        <v>1261</v>
      </c>
      <c r="E341" t="str" cm="1">
        <f t="array" ref="E341">_xlfn.IFS(IFERROR(FIND("M-3SII",B341),-1)&gt;0,"J_M3S2",IFERROR(FIND("M-V",B341),-1)&gt;0,"J_M5",IFERROR(FIND("M-4S",B341),-1)&gt;0,"J_M4S",IFERROR(FIND("M-3C",B341),-1)&gt;0,"J_M3C",IFERROR(FIND("M-3S",B341),-1)&gt;0,"J_M3S",IFERROR(FIND("M-3H",B341),-1)&gt;0,"J_M3H",IFERROR(FIND("H-IIA",B341),-1)&gt;0,"J_H2A",IFERROR(FIND("H-IIB",B341),-1)&gt;0,"J_H2B",IFERROR(FIND("H-II",B341),-1)&gt;0,"J_H2",IFERROR(FIND("H-I",B341),-1)&gt;0,"J_H1",IFERROR(FIND("N-II",B341),-1)&gt;0,"J_N2",IFERROR(FIND("N-I",B341),-1)&gt;0,"J_N1",IFERROR(FIND("イプシロン",B341),-1)&gt;0,"J_E",TRUE,"")</f>
        <v>J_N2</v>
      </c>
      <c r="F341">
        <v>4</v>
      </c>
      <c r="G341" t="str">
        <f t="shared" si="16"/>
        <v>J_N2_4</v>
      </c>
    </row>
    <row r="342" spans="1:9" x14ac:dyDescent="0.15">
      <c r="A342" s="1" t="s">
        <v>789</v>
      </c>
      <c r="B342" s="2" t="s">
        <v>285</v>
      </c>
      <c r="C342">
        <f t="shared" si="15"/>
        <v>51</v>
      </c>
      <c r="D342" t="s">
        <v>1514</v>
      </c>
      <c r="E342" t="str" cm="1">
        <f t="array" ref="E342">_xlfn.IFS(IFERROR(FIND("M-3SII",B342),-1)&gt;0,"J_M3S2",IFERROR(FIND("M-V",B342),-1)&gt;0,"J_M5",IFERROR(FIND("M-4S",B342),-1)&gt;0,"J_M4S",IFERROR(FIND("M-3C",B342),-1)&gt;0,"J_M3C",IFERROR(FIND("M-3S",B342),-1)&gt;0,"J_M3S",IFERROR(FIND("M-3H",B342),-1)&gt;0,"J_M3H",IFERROR(FIND("H-IIA",B342),-1)&gt;0,"J_H2A",IFERROR(FIND("H-IIB",B342),-1)&gt;0,"J_H2B",IFERROR(FIND("H-II",B342),-1)&gt;0,"J_H2",IFERROR(FIND("H-I",B342),-1)&gt;0,"J_H1",IFERROR(FIND("N-II",B342),-1)&gt;0,"J_N2",IFERROR(FIND("N-I",B342),-1)&gt;0,"J_N1",IFERROR(FIND("イプシロン",B342),-1)&gt;0,"J_E",TRUE,"")</f>
        <v>J_N2</v>
      </c>
      <c r="F342">
        <v>4</v>
      </c>
      <c r="G342" t="str">
        <f t="shared" si="16"/>
        <v>J_N2_4</v>
      </c>
    </row>
    <row r="343" spans="1:9" ht="27" x14ac:dyDescent="0.15">
      <c r="A343" s="1" t="s">
        <v>791</v>
      </c>
      <c r="B343" s="2" t="s">
        <v>287</v>
      </c>
      <c r="C343">
        <f t="shared" si="15"/>
        <v>80</v>
      </c>
      <c r="D343" t="s">
        <v>1260</v>
      </c>
      <c r="E343" t="str" cm="1">
        <f t="array" ref="E343">_xlfn.IFS(IFERROR(FIND("M-3SII",B343),-1)&gt;0,"J_M3S2",IFERROR(FIND("M-V",B343),-1)&gt;0,"J_M5",IFERROR(FIND("M-4S",B343),-1)&gt;0,"J_M4S",IFERROR(FIND("M-3C",B343),-1)&gt;0,"J_M3C",IFERROR(FIND("M-3S",B343),-1)&gt;0,"J_M3S",IFERROR(FIND("M-3H",B343),-1)&gt;0,"J_M3H",IFERROR(FIND("H-IIA",B343),-1)&gt;0,"J_H2A",IFERROR(FIND("H-IIB",B343),-1)&gt;0,"J_H2B",IFERROR(FIND("H-II",B343),-1)&gt;0,"J_H2",IFERROR(FIND("H-I",B343),-1)&gt;0,"J_H1",IFERROR(FIND("N-II",B343),-1)&gt;0,"J_N2",IFERROR(FIND("N-I",B343),-1)&gt;0,"J_N1",IFERROR(FIND("イプシロン",B343),-1)&gt;0,"J_E",TRUE,"")</f>
        <v/>
      </c>
      <c r="G343" t="str">
        <f t="shared" si="16"/>
        <v/>
      </c>
    </row>
    <row r="344" spans="1:9" ht="27" x14ac:dyDescent="0.15">
      <c r="A344" s="1" t="s">
        <v>792</v>
      </c>
      <c r="B344" s="2" t="s">
        <v>288</v>
      </c>
      <c r="C344">
        <f t="shared" si="15"/>
        <v>74</v>
      </c>
      <c r="D344" t="s">
        <v>1262</v>
      </c>
      <c r="E344" t="str" cm="1">
        <f t="array" ref="E344">_xlfn.IFS(IFERROR(FIND("M-3SII",B344),-1)&gt;0,"J_M3S2",IFERROR(FIND("M-V",B344),-1)&gt;0,"J_M5",IFERROR(FIND("M-4S",B344),-1)&gt;0,"J_M4S",IFERROR(FIND("M-3C",B344),-1)&gt;0,"J_M3C",IFERROR(FIND("M-3S",B344),-1)&gt;0,"J_M3S",IFERROR(FIND("M-3H",B344),-1)&gt;0,"J_M3H",IFERROR(FIND("H-IIA",B344),-1)&gt;0,"J_H2A",IFERROR(FIND("H-IIB",B344),-1)&gt;0,"J_H2B",IFERROR(FIND("H-II",B344),-1)&gt;0,"J_H2",IFERROR(FIND("H-I",B344),-1)&gt;0,"J_H1",IFERROR(FIND("N-II",B344),-1)&gt;0,"J_N2",IFERROR(FIND("N-I",B344),-1)&gt;0,"J_N1",IFERROR(FIND("イプシロン",B344),-1)&gt;0,"J_E",TRUE,"")</f>
        <v/>
      </c>
      <c r="G344" t="str">
        <f t="shared" si="16"/>
        <v/>
      </c>
    </row>
    <row r="345" spans="1:9" ht="27" x14ac:dyDescent="0.15">
      <c r="A345" s="1" t="s">
        <v>793</v>
      </c>
      <c r="B345" s="2" t="s">
        <v>289</v>
      </c>
      <c r="C345">
        <f t="shared" si="15"/>
        <v>78</v>
      </c>
      <c r="D345" t="s">
        <v>1263</v>
      </c>
      <c r="E345" t="str" cm="1">
        <f t="array" ref="E345">_xlfn.IFS(IFERROR(FIND("M-3SII",B345),-1)&gt;0,"J_M3S2",IFERROR(FIND("M-V",B345),-1)&gt;0,"J_M5",IFERROR(FIND("M-4S",B345),-1)&gt;0,"J_M4S",IFERROR(FIND("M-3C",B345),-1)&gt;0,"J_M3C",IFERROR(FIND("M-3S",B345),-1)&gt;0,"J_M3S",IFERROR(FIND("M-3H",B345),-1)&gt;0,"J_M3H",IFERROR(FIND("H-IIA",B345),-1)&gt;0,"J_H2A",IFERROR(FIND("H-IIB",B345),-1)&gt;0,"J_H2B",IFERROR(FIND("H-II",B345),-1)&gt;0,"J_H2",IFERROR(FIND("H-I",B345),-1)&gt;0,"J_H1",IFERROR(FIND("N-II",B345),-1)&gt;0,"J_N2",IFERROR(FIND("N-I",B345),-1)&gt;0,"J_N1",IFERROR(FIND("イプシロン",B345),-1)&gt;0,"J_E",TRUE,"")</f>
        <v/>
      </c>
      <c r="G345" t="str">
        <f t="shared" si="16"/>
        <v/>
      </c>
    </row>
    <row r="346" spans="1:9" ht="27" x14ac:dyDescent="0.15">
      <c r="A346" s="1" t="s">
        <v>794</v>
      </c>
      <c r="B346" s="2" t="s">
        <v>290</v>
      </c>
      <c r="C346">
        <f t="shared" si="15"/>
        <v>70</v>
      </c>
      <c r="D346" t="s">
        <v>1264</v>
      </c>
      <c r="E346" t="str" cm="1">
        <f t="array" ref="E346">_xlfn.IFS(IFERROR(FIND("M-3SII",B346),-1)&gt;0,"J_M3S2",IFERROR(FIND("M-V",B346),-1)&gt;0,"J_M5",IFERROR(FIND("M-4S",B346),-1)&gt;0,"J_M4S",IFERROR(FIND("M-3C",B346),-1)&gt;0,"J_M3C",IFERROR(FIND("M-3S",B346),-1)&gt;0,"J_M3S",IFERROR(FIND("M-3H",B346),-1)&gt;0,"J_M3H",IFERROR(FIND("H-IIA",B346),-1)&gt;0,"J_H2A",IFERROR(FIND("H-IIB",B346),-1)&gt;0,"J_H2B",IFERROR(FIND("H-II",B346),-1)&gt;0,"J_H2",IFERROR(FIND("H-I",B346),-1)&gt;0,"J_H1",IFERROR(FIND("N-II",B346),-1)&gt;0,"J_N2",IFERROR(FIND("N-I",B346),-1)&gt;0,"J_N1",IFERROR(FIND("イプシロン",B346),-1)&gt;0,"J_E",TRUE,"")</f>
        <v/>
      </c>
      <c r="G346" t="str">
        <f t="shared" si="16"/>
        <v/>
      </c>
    </row>
    <row r="347" spans="1:9" ht="27" x14ac:dyDescent="0.15">
      <c r="A347" s="1" t="s">
        <v>795</v>
      </c>
      <c r="B347" s="2" t="s">
        <v>291</v>
      </c>
      <c r="C347">
        <f t="shared" si="15"/>
        <v>92</v>
      </c>
      <c r="D347" t="s">
        <v>1265</v>
      </c>
      <c r="E347" t="str" cm="1">
        <f t="array" ref="E347">_xlfn.IFS(IFERROR(FIND("M-3SII",B347),-1)&gt;0,"J_M3S2",IFERROR(FIND("M-V",B347),-1)&gt;0,"J_M5",IFERROR(FIND("M-4S",B347),-1)&gt;0,"J_M4S",IFERROR(FIND("M-3C",B347),-1)&gt;0,"J_M3C",IFERROR(FIND("M-3S",B347),-1)&gt;0,"J_M3S",IFERROR(FIND("M-3H",B347),-1)&gt;0,"J_M3H",IFERROR(FIND("H-IIA",B347),-1)&gt;0,"J_H2A",IFERROR(FIND("H-IIB",B347),-1)&gt;0,"J_H2B",IFERROR(FIND("H-II",B347),-1)&gt;0,"J_H2",IFERROR(FIND("H-I",B347),-1)&gt;0,"J_H1",IFERROR(FIND("N-II",B347),-1)&gt;0,"J_N2",IFERROR(FIND("N-I",B347),-1)&gt;0,"J_N1",IFERROR(FIND("イプシロン",B347),-1)&gt;0,"J_E",TRUE,"")</f>
        <v>J_N2</v>
      </c>
      <c r="F347">
        <v>1</v>
      </c>
      <c r="G347" t="str">
        <f t="shared" si="16"/>
        <v>J_N2_1</v>
      </c>
    </row>
    <row r="348" spans="1:9" x14ac:dyDescent="0.15">
      <c r="A348" s="1" t="s">
        <v>796</v>
      </c>
      <c r="B348" s="2" t="s">
        <v>292</v>
      </c>
      <c r="C348">
        <f t="shared" si="15"/>
        <v>52</v>
      </c>
      <c r="D348" t="s">
        <v>1515</v>
      </c>
      <c r="E348" t="str" cm="1">
        <f t="array" ref="E348">_xlfn.IFS(IFERROR(FIND("M-3SII",B348),-1)&gt;0,"J_M3S2",IFERROR(FIND("M-V",B348),-1)&gt;0,"J_M5",IFERROR(FIND("M-4S",B348),-1)&gt;0,"J_M4S",IFERROR(FIND("M-3C",B348),-1)&gt;0,"J_M3C",IFERROR(FIND("M-3S",B348),-1)&gt;0,"J_M3S",IFERROR(FIND("M-3H",B348),-1)&gt;0,"J_M3H",IFERROR(FIND("H-IIA",B348),-1)&gt;0,"J_H2A",IFERROR(FIND("H-IIB",B348),-1)&gt;0,"J_H2B",IFERROR(FIND("H-II",B348),-1)&gt;0,"J_H2",IFERROR(FIND("H-I",B348),-1)&gt;0,"J_H1",IFERROR(FIND("N-II",B348),-1)&gt;0,"J_N2",IFERROR(FIND("N-I",B348),-1)&gt;0,"J_N1",IFERROR(FIND("イプシロン",B348),-1)&gt;0,"J_E",TRUE,"")</f>
        <v>J_N2</v>
      </c>
      <c r="F348">
        <v>1</v>
      </c>
      <c r="G348" t="str">
        <f t="shared" si="16"/>
        <v>J_N2_1</v>
      </c>
    </row>
    <row r="349" spans="1:9" ht="27" x14ac:dyDescent="0.15">
      <c r="A349" s="1" t="s">
        <v>797</v>
      </c>
      <c r="B349" s="2" t="s">
        <v>293</v>
      </c>
      <c r="C349">
        <f t="shared" si="15"/>
        <v>69</v>
      </c>
      <c r="D349" t="s">
        <v>1266</v>
      </c>
      <c r="E349" t="str" cm="1">
        <f t="array" ref="E349">_xlfn.IFS(IFERROR(FIND("M-3SII",B349),-1)&gt;0,"J_M3S2",IFERROR(FIND("M-V",B349),-1)&gt;0,"J_M5",IFERROR(FIND("M-4S",B349),-1)&gt;0,"J_M4S",IFERROR(FIND("M-3C",B349),-1)&gt;0,"J_M3C",IFERROR(FIND("M-3S",B349),-1)&gt;0,"J_M3S",IFERROR(FIND("M-3H",B349),-1)&gt;0,"J_M3H",IFERROR(FIND("H-IIA",B349),-1)&gt;0,"J_H2A",IFERROR(FIND("H-IIB",B349),-1)&gt;0,"J_H2B",IFERROR(FIND("H-II",B349),-1)&gt;0,"J_H2",IFERROR(FIND("H-I",B349),-1)&gt;0,"J_H1",IFERROR(FIND("N-II",B349),-1)&gt;0,"J_N2",IFERROR(FIND("N-I",B349),-1)&gt;0,"J_N1",IFERROR(FIND("イプシロン",B349),-1)&gt;0,"J_E",TRUE,"")</f>
        <v/>
      </c>
      <c r="G349" t="str">
        <f t="shared" si="16"/>
        <v/>
      </c>
    </row>
    <row r="350" spans="1:9" ht="27" x14ac:dyDescent="0.15">
      <c r="A350" s="1" t="s">
        <v>799</v>
      </c>
      <c r="B350" s="2" t="s">
        <v>295</v>
      </c>
      <c r="C350">
        <f t="shared" si="15"/>
        <v>83</v>
      </c>
      <c r="D350" t="s">
        <v>1268</v>
      </c>
      <c r="E350" t="str" cm="1">
        <f t="array" ref="E350">_xlfn.IFS(IFERROR(FIND("M-3SII",B350),-1)&gt;0,"J_M3S2",IFERROR(FIND("M-V",B350),-1)&gt;0,"J_M5",IFERROR(FIND("M-4S",B350),-1)&gt;0,"J_M4S",IFERROR(FIND("M-3C",B350),-1)&gt;0,"J_M3C",IFERROR(FIND("M-3S",B350),-1)&gt;0,"J_M3S",IFERROR(FIND("M-3H",B350),-1)&gt;0,"J_M3H",IFERROR(FIND("H-IIA",B350),-1)&gt;0,"J_H2A",IFERROR(FIND("H-IIB",B350),-1)&gt;0,"J_H2B",IFERROR(FIND("H-II",B350),-1)&gt;0,"J_H2",IFERROR(FIND("H-I",B350),-1)&gt;0,"J_H1",IFERROR(FIND("N-II",B350),-1)&gt;0,"J_N2",IFERROR(FIND("N-I",B350),-1)&gt;0,"J_N1",IFERROR(FIND("イプシロン",B350),-1)&gt;0,"J_E",TRUE,"")</f>
        <v>J_H1</v>
      </c>
      <c r="F350">
        <v>1</v>
      </c>
      <c r="G350" t="str">
        <f t="shared" si="16"/>
        <v>J_H1_1</v>
      </c>
    </row>
    <row r="351" spans="1:9" x14ac:dyDescent="0.15">
      <c r="A351" s="1" t="s">
        <v>798</v>
      </c>
      <c r="B351" s="2" t="s">
        <v>294</v>
      </c>
      <c r="C351">
        <f t="shared" si="15"/>
        <v>59</v>
      </c>
      <c r="D351" t="s">
        <v>1516</v>
      </c>
      <c r="E351" t="str" cm="1">
        <f t="array" ref="E351">_xlfn.IFS(IFERROR(FIND("M-3SII",B351),-1)&gt;0,"J_M3S2",IFERROR(FIND("M-V",B351),-1)&gt;0,"J_M5",IFERROR(FIND("M-4S",B351),-1)&gt;0,"J_M4S",IFERROR(FIND("M-3C",B351),-1)&gt;0,"J_M3C",IFERROR(FIND("M-3S",B351),-1)&gt;0,"J_M3S",IFERROR(FIND("M-3H",B351),-1)&gt;0,"J_M3H",IFERROR(FIND("H-IIA",B351),-1)&gt;0,"J_H2A",IFERROR(FIND("H-IIB",B351),-1)&gt;0,"J_H2B",IFERROR(FIND("H-II",B351),-1)&gt;0,"J_H2",IFERROR(FIND("H-I",B351),-1)&gt;0,"J_H1",IFERROR(FIND("N-II",B351),-1)&gt;0,"J_N2",IFERROR(FIND("N-I",B351),-1)&gt;0,"J_N1",IFERROR(FIND("イプシロン",B351),-1)&gt;0,"J_E",TRUE,"")</f>
        <v>J_H1</v>
      </c>
      <c r="F351">
        <v>1</v>
      </c>
      <c r="G351" t="str">
        <f t="shared" si="16"/>
        <v>J_H1_1</v>
      </c>
    </row>
    <row r="352" spans="1:9" ht="27" x14ac:dyDescent="0.15">
      <c r="A352" s="1" t="s">
        <v>800</v>
      </c>
      <c r="B352" s="2" t="s">
        <v>296</v>
      </c>
      <c r="C352">
        <f t="shared" si="15"/>
        <v>90</v>
      </c>
      <c r="D352" t="s">
        <v>1517</v>
      </c>
      <c r="E352" t="str" cm="1">
        <f t="array" ref="E352">_xlfn.IFS(IFERROR(FIND("M-3SII",B352),-1)&gt;0,"J_M3S2",IFERROR(FIND("M-V",B352),-1)&gt;0,"J_M5",IFERROR(FIND("M-4S",B352),-1)&gt;0,"J_M4S",IFERROR(FIND("M-3C",B352),-1)&gt;0,"J_M3C",IFERROR(FIND("M-3S",B352),-1)&gt;0,"J_M3S",IFERROR(FIND("M-3H",B352),-1)&gt;0,"J_M3H",IFERROR(FIND("H-IIA",B352),-1)&gt;0,"J_H2A",IFERROR(FIND("H-IIB",B352),-1)&gt;0,"J_H2B",IFERROR(FIND("H-II",B352),-1)&gt;0,"J_H2",IFERROR(FIND("H-I",B352),-1)&gt;0,"J_H1",IFERROR(FIND("N-II",B352),-1)&gt;0,"J_N2",IFERROR(FIND("N-I",B352),-1)&gt;0,"J_N1",IFERROR(FIND("イプシロン",B352),-1)&gt;0,"J_E",TRUE,"")</f>
        <v>J_H1</v>
      </c>
      <c r="F352">
        <v>1</v>
      </c>
      <c r="G352" t="str">
        <f t="shared" si="16"/>
        <v>J_H1_1</v>
      </c>
    </row>
    <row r="353" spans="1:9" ht="27" x14ac:dyDescent="0.15">
      <c r="A353" s="1" t="s">
        <v>801</v>
      </c>
      <c r="B353" s="2" t="s">
        <v>297</v>
      </c>
      <c r="C353">
        <f t="shared" si="15"/>
        <v>92</v>
      </c>
      <c r="D353" t="s">
        <v>1267</v>
      </c>
      <c r="E353" t="str" cm="1">
        <f t="array" ref="E353">_xlfn.IFS(IFERROR(FIND("M-3SII",B353),-1)&gt;0,"J_M3S2",IFERROR(FIND("M-V",B353),-1)&gt;0,"J_M5",IFERROR(FIND("M-4S",B353),-1)&gt;0,"J_M4S",IFERROR(FIND("M-3C",B353),-1)&gt;0,"J_M3C",IFERROR(FIND("M-3S",B353),-1)&gt;0,"J_M3S",IFERROR(FIND("M-3H",B353),-1)&gt;0,"J_M3H",IFERROR(FIND("H-IIA",B353),-1)&gt;0,"J_H2A",IFERROR(FIND("H-IIB",B353),-1)&gt;0,"J_H2B",IFERROR(FIND("H-II",B353),-1)&gt;0,"J_H2",IFERROR(FIND("H-I",B353),-1)&gt;0,"J_H1",IFERROR(FIND("N-II",B353),-1)&gt;0,"J_N2",IFERROR(FIND("N-I",B353),-1)&gt;0,"J_N1",IFERROR(FIND("イプシロン",B353),-1)&gt;0,"J_E",TRUE,"")</f>
        <v/>
      </c>
      <c r="G353" t="str">
        <f t="shared" si="16"/>
        <v/>
      </c>
    </row>
    <row r="354" spans="1:9" ht="27" x14ac:dyDescent="0.15">
      <c r="A354" s="1" t="s">
        <v>802</v>
      </c>
      <c r="B354" s="2" t="s">
        <v>1000</v>
      </c>
      <c r="C354">
        <f t="shared" si="15"/>
        <v>89</v>
      </c>
      <c r="D354" t="s">
        <v>1269</v>
      </c>
      <c r="E354" t="str" cm="1">
        <f t="array" ref="E354">_xlfn.IFS(IFERROR(FIND("M-3SII",B354),-1)&gt;0,"J_M3S2",IFERROR(FIND("M-V",B354),-1)&gt;0,"J_M5",IFERROR(FIND("M-4S",B354),-1)&gt;0,"J_M4S",IFERROR(FIND("M-3C",B354),-1)&gt;0,"J_M3C",IFERROR(FIND("M-3S",B354),-1)&gt;0,"J_M3S",IFERROR(FIND("M-3H",B354),-1)&gt;0,"J_M3H",IFERROR(FIND("H-IIA",B354),-1)&gt;0,"J_H2A",IFERROR(FIND("H-IIB",B354),-1)&gt;0,"J_H2B",IFERROR(FIND("H-II",B354),-1)&gt;0,"J_H2",IFERROR(FIND("H-I",B354),-1)&gt;0,"J_H1",IFERROR(FIND("N-II",B354),-1)&gt;0,"J_N2",IFERROR(FIND("N-I",B354),-1)&gt;0,"J_N1",IFERROR(FIND("イプシロン",B354),-1)&gt;0,"J_E",TRUE,"")</f>
        <v/>
      </c>
      <c r="G354" t="str">
        <f t="shared" si="16"/>
        <v/>
      </c>
      <c r="H354">
        <v>20170515</v>
      </c>
      <c r="I354" t="s">
        <v>1004</v>
      </c>
    </row>
    <row r="355" spans="1:9" ht="27" x14ac:dyDescent="0.15">
      <c r="A355" s="1" t="s">
        <v>803</v>
      </c>
      <c r="B355" s="2" t="s">
        <v>298</v>
      </c>
      <c r="C355">
        <f t="shared" si="15"/>
        <v>101</v>
      </c>
      <c r="D355" t="s">
        <v>1518</v>
      </c>
      <c r="E355" t="str" cm="1">
        <f t="array" ref="E355">_xlfn.IFS(IFERROR(FIND("M-3SII",B355),-1)&gt;0,"J_M3S2",IFERROR(FIND("M-V",B355),-1)&gt;0,"J_M5",IFERROR(FIND("M-4S",B355),-1)&gt;0,"J_M4S",IFERROR(FIND("M-3C",B355),-1)&gt;0,"J_M3C",IFERROR(FIND("M-3S",B355),-1)&gt;0,"J_M3S",IFERROR(FIND("M-3H",B355),-1)&gt;0,"J_M3H",IFERROR(FIND("H-IIA",B355),-1)&gt;0,"J_H2A",IFERROR(FIND("H-IIB",B355),-1)&gt;0,"J_H2B",IFERROR(FIND("H-II",B355),-1)&gt;0,"J_H2",IFERROR(FIND("H-I",B355),-1)&gt;0,"J_H1",IFERROR(FIND("N-II",B355),-1)&gt;0,"J_N2",IFERROR(FIND("N-I",B355),-1)&gt;0,"J_N1",IFERROR(FIND("イプシロン",B355),-1)&gt;0,"J_E",TRUE,"")</f>
        <v/>
      </c>
      <c r="G355" t="str">
        <f t="shared" si="16"/>
        <v/>
      </c>
    </row>
    <row r="356" spans="1:9" ht="27" x14ac:dyDescent="0.15">
      <c r="A356" s="1" t="s">
        <v>804</v>
      </c>
      <c r="B356" s="2" t="s">
        <v>299</v>
      </c>
      <c r="C356">
        <f t="shared" si="15"/>
        <v>86</v>
      </c>
      <c r="D356" t="s">
        <v>1270</v>
      </c>
      <c r="E356" t="str" cm="1">
        <f t="array" ref="E356">_xlfn.IFS(IFERROR(FIND("M-3SII",B356),-1)&gt;0,"J_M3S2",IFERROR(FIND("M-V",B356),-1)&gt;0,"J_M5",IFERROR(FIND("M-4S",B356),-1)&gt;0,"J_M4S",IFERROR(FIND("M-3C",B356),-1)&gt;0,"J_M3C",IFERROR(FIND("M-3S",B356),-1)&gt;0,"J_M3S",IFERROR(FIND("M-3H",B356),-1)&gt;0,"J_M3H",IFERROR(FIND("H-IIA",B356),-1)&gt;0,"J_H2A",IFERROR(FIND("H-IIB",B356),-1)&gt;0,"J_H2B",IFERROR(FIND("H-II",B356),-1)&gt;0,"J_H2",IFERROR(FIND("H-I",B356),-1)&gt;0,"J_H1",IFERROR(FIND("N-II",B356),-1)&gt;0,"J_N2",IFERROR(FIND("N-I",B356),-1)&gt;0,"J_N1",IFERROR(FIND("イプシロン",B356),-1)&gt;0,"J_E",TRUE,"")</f>
        <v/>
      </c>
      <c r="G356" t="str">
        <f t="shared" si="16"/>
        <v/>
      </c>
    </row>
    <row r="357" spans="1:9" x14ac:dyDescent="0.15">
      <c r="A357" s="1" t="s">
        <v>805</v>
      </c>
      <c r="B357" s="2" t="s">
        <v>300</v>
      </c>
      <c r="C357">
        <f t="shared" si="15"/>
        <v>62</v>
      </c>
      <c r="D357" t="s">
        <v>1271</v>
      </c>
      <c r="E357" t="str" cm="1">
        <f t="array" ref="E357">_xlfn.IFS(IFERROR(FIND("M-3SII",B357),-1)&gt;0,"J_M3S2",IFERROR(FIND("M-V",B357),-1)&gt;0,"J_M5",IFERROR(FIND("M-4S",B357),-1)&gt;0,"J_M4S",IFERROR(FIND("M-3C",B357),-1)&gt;0,"J_M3C",IFERROR(FIND("M-3S",B357),-1)&gt;0,"J_M3S",IFERROR(FIND("M-3H",B357),-1)&gt;0,"J_M3H",IFERROR(FIND("H-IIA",B357),-1)&gt;0,"J_H2A",IFERROR(FIND("H-IIB",B357),-1)&gt;0,"J_H2B",IFERROR(FIND("H-II",B357),-1)&gt;0,"J_H2",IFERROR(FIND("H-I",B357),-1)&gt;0,"J_H1",IFERROR(FIND("N-II",B357),-1)&gt;0,"J_N2",IFERROR(FIND("N-I",B357),-1)&gt;0,"J_N1",IFERROR(FIND("イプシロン",B357),-1)&gt;0,"J_E",TRUE,"")</f>
        <v/>
      </c>
      <c r="G357" t="str">
        <f t="shared" si="16"/>
        <v/>
      </c>
    </row>
    <row r="358" spans="1:9" x14ac:dyDescent="0.15">
      <c r="A358" s="1" t="s">
        <v>807</v>
      </c>
      <c r="B358" s="2" t="s">
        <v>302</v>
      </c>
      <c r="C358">
        <f t="shared" si="15"/>
        <v>57</v>
      </c>
      <c r="D358" t="s">
        <v>1272</v>
      </c>
      <c r="E358" t="str" cm="1">
        <f t="array" ref="E358">_xlfn.IFS(IFERROR(FIND("M-3SII",B358),-1)&gt;0,"J_M3S2",IFERROR(FIND("M-V",B358),-1)&gt;0,"J_M5",IFERROR(FIND("M-4S",B358),-1)&gt;0,"J_M4S",IFERROR(FIND("M-3C",B358),-1)&gt;0,"J_M3C",IFERROR(FIND("M-3S",B358),-1)&gt;0,"J_M3S",IFERROR(FIND("M-3H",B358),-1)&gt;0,"J_M3H",IFERROR(FIND("H-IIA",B358),-1)&gt;0,"J_H2A",IFERROR(FIND("H-IIB",B358),-1)&gt;0,"J_H2B",IFERROR(FIND("H-II",B358),-1)&gt;0,"J_H2",IFERROR(FIND("H-I",B358),-1)&gt;0,"J_H1",IFERROR(FIND("N-II",B358),-1)&gt;0,"J_N2",IFERROR(FIND("N-I",B358),-1)&gt;0,"J_N1",IFERROR(FIND("イプシロン",B358),-1)&gt;0,"J_E",TRUE,"")</f>
        <v/>
      </c>
      <c r="G358" t="str">
        <f t="shared" si="16"/>
        <v/>
      </c>
    </row>
    <row r="359" spans="1:9" ht="27" x14ac:dyDescent="0.15">
      <c r="A359" s="1" t="s">
        <v>808</v>
      </c>
      <c r="B359" s="2" t="s">
        <v>303</v>
      </c>
      <c r="C359">
        <f t="shared" si="15"/>
        <v>98</v>
      </c>
      <c r="D359" t="s">
        <v>1519</v>
      </c>
      <c r="E359" t="s">
        <v>1601</v>
      </c>
      <c r="F359">
        <v>4</v>
      </c>
      <c r="G359" t="str">
        <f t="shared" si="16"/>
        <v>J_H2_4</v>
      </c>
    </row>
    <row r="360" spans="1:9" ht="27" x14ac:dyDescent="0.15">
      <c r="A360" s="1" t="s">
        <v>806</v>
      </c>
      <c r="B360" s="2" t="s">
        <v>301</v>
      </c>
      <c r="C360">
        <f t="shared" si="15"/>
        <v>77</v>
      </c>
      <c r="D360" t="s">
        <v>1520</v>
      </c>
      <c r="E360" t="str" cm="1">
        <f t="array" ref="E360">_xlfn.IFS(IFERROR(FIND("M-3SII",B360),-1)&gt;0,"J_M3S2",IFERROR(FIND("M-V",B360),-1)&gt;0,"J_M5",IFERROR(FIND("M-4S",B360),-1)&gt;0,"J_M4S",IFERROR(FIND("M-3C",B360),-1)&gt;0,"J_M3C",IFERROR(FIND("M-3S",B360),-1)&gt;0,"J_M3S",IFERROR(FIND("M-3H",B360),-1)&gt;0,"J_M3H",IFERROR(FIND("H-IIA",B360),-1)&gt;0,"J_H2A",IFERROR(FIND("H-IIB",B360),-1)&gt;0,"J_H2B",IFERROR(FIND("H-II",B360),-1)&gt;0,"J_H2",IFERROR(FIND("H-I",B360),-1)&gt;0,"J_H1",IFERROR(FIND("N-II",B360),-1)&gt;0,"J_N2",IFERROR(FIND("N-I",B360),-1)&gt;0,"J_N1",IFERROR(FIND("イプシロン",B360),-1)&gt;0,"J_E",TRUE,"")</f>
        <v>J_H2</v>
      </c>
      <c r="F360">
        <v>4</v>
      </c>
      <c r="G360" t="str">
        <f t="shared" si="16"/>
        <v>J_H2_4</v>
      </c>
    </row>
    <row r="361" spans="1:9" ht="27" x14ac:dyDescent="0.15">
      <c r="A361" s="1" t="s">
        <v>809</v>
      </c>
      <c r="B361" s="2" t="s">
        <v>304</v>
      </c>
      <c r="C361">
        <f t="shared" si="15"/>
        <v>80</v>
      </c>
      <c r="D361" t="s">
        <v>1273</v>
      </c>
      <c r="E361" t="s">
        <v>1588</v>
      </c>
      <c r="F361">
        <v>2</v>
      </c>
      <c r="G361" t="str">
        <f t="shared" si="16"/>
        <v>J_M3S2_2</v>
      </c>
    </row>
    <row r="362" spans="1:9" x14ac:dyDescent="0.15">
      <c r="A362" s="1" t="s">
        <v>810</v>
      </c>
      <c r="B362" s="2" t="s">
        <v>305</v>
      </c>
      <c r="C362">
        <f t="shared" si="15"/>
        <v>53</v>
      </c>
      <c r="D362" t="s">
        <v>1521</v>
      </c>
      <c r="E362" t="str" cm="1">
        <f t="array" ref="E362">_xlfn.IFS(IFERROR(FIND("M-3SII",B362),-1)&gt;0,"J_M3S2",IFERROR(FIND("M-V",B362),-1)&gt;0,"J_M5",IFERROR(FIND("M-4S",B362),-1)&gt;0,"J_M4S",IFERROR(FIND("M-3C",B362),-1)&gt;0,"J_M3C",IFERROR(FIND("M-3S",B362),-1)&gt;0,"J_M3S",IFERROR(FIND("M-3H",B362),-1)&gt;0,"J_M3H",IFERROR(FIND("H-IIA",B362),-1)&gt;0,"J_H2A",IFERROR(FIND("H-IIB",B362),-1)&gt;0,"J_H2B",IFERROR(FIND("H-II",B362),-1)&gt;0,"J_H2",IFERROR(FIND("H-I",B362),-1)&gt;0,"J_H1",IFERROR(FIND("N-II",B362),-1)&gt;0,"J_N2",IFERROR(FIND("N-I",B362),-1)&gt;0,"J_N1",IFERROR(FIND("イプシロン",B362),-1)&gt;0,"J_E",TRUE,"")</f>
        <v>J_M3S2</v>
      </c>
      <c r="F362">
        <v>2</v>
      </c>
      <c r="G362" t="str">
        <f t="shared" si="16"/>
        <v>J_M3S2_2</v>
      </c>
    </row>
    <row r="363" spans="1:9" ht="27" x14ac:dyDescent="0.15">
      <c r="A363" s="1" t="s">
        <v>812</v>
      </c>
      <c r="B363" s="2" t="s">
        <v>307</v>
      </c>
      <c r="C363">
        <f t="shared" si="15"/>
        <v>110</v>
      </c>
      <c r="D363" t="s">
        <v>1274</v>
      </c>
      <c r="E363" t="s">
        <v>1596</v>
      </c>
      <c r="F363">
        <v>4</v>
      </c>
      <c r="G363" t="str">
        <f t="shared" si="16"/>
        <v>J_M4S_4</v>
      </c>
    </row>
    <row r="364" spans="1:9" x14ac:dyDescent="0.15">
      <c r="A364" s="1" t="s">
        <v>811</v>
      </c>
      <c r="B364" s="2" t="s">
        <v>306</v>
      </c>
      <c r="C364">
        <f t="shared" si="15"/>
        <v>63</v>
      </c>
      <c r="D364" t="s">
        <v>1522</v>
      </c>
      <c r="E364" t="str" cm="1">
        <f t="array" ref="E364">_xlfn.IFS(IFERROR(FIND("M-3SII",B364),-1)&gt;0,"J_M3S2",IFERROR(FIND("M-V",B364),-1)&gt;0,"J_M5",IFERROR(FIND("M-4S",B364),-1)&gt;0,"J_M4S",IFERROR(FIND("M-3C",B364),-1)&gt;0,"J_M3C",IFERROR(FIND("M-3S",B364),-1)&gt;0,"J_M3S",IFERROR(FIND("M-3H",B364),-1)&gt;0,"J_M3H",IFERROR(FIND("H-IIA",B364),-1)&gt;0,"J_H2A",IFERROR(FIND("H-IIB",B364),-1)&gt;0,"J_H2B",IFERROR(FIND("H-II",B364),-1)&gt;0,"J_H2",IFERROR(FIND("H-I",B364),-1)&gt;0,"J_H1",IFERROR(FIND("N-II",B364),-1)&gt;0,"J_N2",IFERROR(FIND("N-I",B364),-1)&gt;0,"J_N1",IFERROR(FIND("イプシロン",B364),-1)&gt;0,"J_E",TRUE,"")</f>
        <v>J_M4S</v>
      </c>
      <c r="F364">
        <v>4</v>
      </c>
      <c r="G364" t="str">
        <f t="shared" si="16"/>
        <v>J_M4S_4</v>
      </c>
    </row>
    <row r="365" spans="1:9" x14ac:dyDescent="0.15">
      <c r="A365" s="1" t="s">
        <v>813</v>
      </c>
      <c r="B365" s="2" t="s">
        <v>308</v>
      </c>
      <c r="C365">
        <f t="shared" si="15"/>
        <v>64</v>
      </c>
      <c r="D365" t="s">
        <v>1275</v>
      </c>
      <c r="E365" t="str" cm="1">
        <f t="array" ref="E365">_xlfn.IFS(IFERROR(FIND("M-3SII",B365),-1)&gt;0,"J_M3S2",IFERROR(FIND("M-V",B365),-1)&gt;0,"J_M5",IFERROR(FIND("M-4S",B365),-1)&gt;0,"J_M4S",IFERROR(FIND("M-3C",B365),-1)&gt;0,"J_M3C",IFERROR(FIND("M-3S",B365),-1)&gt;0,"J_M3S",IFERROR(FIND("M-3H",B365),-1)&gt;0,"J_M3H",IFERROR(FIND("H-IIA",B365),-1)&gt;0,"J_H2A",IFERROR(FIND("H-IIB",B365),-1)&gt;0,"J_H2B",IFERROR(FIND("H-II",B365),-1)&gt;0,"J_H2",IFERROR(FIND("H-I",B365),-1)&gt;0,"J_H1",IFERROR(FIND("N-II",B365),-1)&gt;0,"J_N2",IFERROR(FIND("N-I",B365),-1)&gt;0,"J_N1",IFERROR(FIND("イプシロン",B365),-1)&gt;0,"J_E",TRUE,"")</f>
        <v/>
      </c>
      <c r="G365" t="str">
        <f t="shared" si="16"/>
        <v/>
      </c>
    </row>
    <row r="366" spans="1:9" ht="27" x14ac:dyDescent="0.15">
      <c r="A366" s="1" t="s">
        <v>814</v>
      </c>
      <c r="B366" s="2" t="s">
        <v>1009</v>
      </c>
      <c r="C366">
        <f t="shared" si="15"/>
        <v>67</v>
      </c>
      <c r="D366" t="s">
        <v>1523</v>
      </c>
      <c r="E366" t="str" cm="1">
        <f t="array" ref="E366">_xlfn.IFS(IFERROR(FIND("M-3SII",B366),-1)&gt;0,"J_M3S2",IFERROR(FIND("M-V",B366),-1)&gt;0,"J_M5",IFERROR(FIND("M-4S",B366),-1)&gt;0,"J_M4S",IFERROR(FIND("M-3C",B366),-1)&gt;0,"J_M3C",IFERROR(FIND("M-3S",B366),-1)&gt;0,"J_M3S",IFERROR(FIND("M-3H",B366),-1)&gt;0,"J_M3H",IFERROR(FIND("H-IIA",B366),-1)&gt;0,"J_H2A",IFERROR(FIND("H-IIB",B366),-1)&gt;0,"J_H2B",IFERROR(FIND("H-II",B366),-1)&gt;0,"J_H2",IFERROR(FIND("H-I",B366),-1)&gt;0,"J_H1",IFERROR(FIND("N-II",B366),-1)&gt;0,"J_N2",IFERROR(FIND("N-I",B366),-1)&gt;0,"J_N1",IFERROR(FIND("イプシロン",B366),-1)&gt;0,"J_E",TRUE,"")</f>
        <v/>
      </c>
      <c r="G366" t="str">
        <f t="shared" si="16"/>
        <v/>
      </c>
      <c r="H366">
        <v>20170820</v>
      </c>
      <c r="I366" t="s">
        <v>1017</v>
      </c>
    </row>
    <row r="367" spans="1:9" ht="27" x14ac:dyDescent="0.15">
      <c r="A367" s="1" t="s">
        <v>815</v>
      </c>
      <c r="B367" s="2" t="s">
        <v>309</v>
      </c>
      <c r="C367">
        <f t="shared" si="15"/>
        <v>97</v>
      </c>
      <c r="D367" t="s">
        <v>1276</v>
      </c>
      <c r="E367" t="str" cm="1">
        <f t="array" ref="E367">_xlfn.IFS(IFERROR(FIND("M-3SII",B367),-1)&gt;0,"J_M3S2",IFERROR(FIND("M-V",B367),-1)&gt;0,"J_M5",IFERROR(FIND("M-4S",B367),-1)&gt;0,"J_M4S",IFERROR(FIND("M-3C",B367),-1)&gt;0,"J_M3C",IFERROR(FIND("M-3S",B367),-1)&gt;0,"J_M3S",IFERROR(FIND("M-3H",B367),-1)&gt;0,"J_M3H",IFERROR(FIND("H-IIA",B367),-1)&gt;0,"J_H2A",IFERROR(FIND("H-IIB",B367),-1)&gt;0,"J_H2B",IFERROR(FIND("H-II",B367),-1)&gt;0,"J_H2",IFERROR(FIND("H-I",B367),-1)&gt;0,"J_H1",IFERROR(FIND("N-II",B367),-1)&gt;0,"J_N2",IFERROR(FIND("N-I",B367),-1)&gt;0,"J_N1",IFERROR(FIND("イプシロン",B367),-1)&gt;0,"J_E",TRUE,"")</f>
        <v/>
      </c>
      <c r="G367" t="str">
        <f t="shared" si="16"/>
        <v/>
      </c>
    </row>
    <row r="368" spans="1:9" ht="27" x14ac:dyDescent="0.15">
      <c r="A368" s="1" t="s">
        <v>816</v>
      </c>
      <c r="B368" s="2" t="s">
        <v>310</v>
      </c>
      <c r="C368">
        <f t="shared" si="15"/>
        <v>78</v>
      </c>
      <c r="D368" t="s">
        <v>1277</v>
      </c>
      <c r="E368" t="str" cm="1">
        <f t="array" ref="E368">_xlfn.IFS(IFERROR(FIND("M-3SII",B368),-1)&gt;0,"J_M3S2",IFERROR(FIND("M-V",B368),-1)&gt;0,"J_M5",IFERROR(FIND("M-4S",B368),-1)&gt;0,"J_M4S",IFERROR(FIND("M-3C",B368),-1)&gt;0,"J_M3C",IFERROR(FIND("M-3S",B368),-1)&gt;0,"J_M3S",IFERROR(FIND("M-3H",B368),-1)&gt;0,"J_M3H",IFERROR(FIND("H-IIA",B368),-1)&gt;0,"J_H2A",IFERROR(FIND("H-IIB",B368),-1)&gt;0,"J_H2B",IFERROR(FIND("H-II",B368),-1)&gt;0,"J_H2",IFERROR(FIND("H-I",B368),-1)&gt;0,"J_H1",IFERROR(FIND("N-II",B368),-1)&gt;0,"J_N2",IFERROR(FIND("N-I",B368),-1)&gt;0,"J_N1",IFERROR(FIND("イプシロン",B368),-1)&gt;0,"J_E",TRUE,"")</f>
        <v/>
      </c>
      <c r="G368" t="str">
        <f t="shared" si="16"/>
        <v/>
      </c>
    </row>
    <row r="369" spans="1:9" ht="27" x14ac:dyDescent="0.15">
      <c r="A369" s="1" t="s">
        <v>818</v>
      </c>
      <c r="B369" s="2" t="s">
        <v>1905</v>
      </c>
      <c r="C369">
        <f t="shared" si="15"/>
        <v>72</v>
      </c>
      <c r="D369" t="s">
        <v>1279</v>
      </c>
      <c r="E369" t="str" cm="1">
        <f t="array" ref="E369">_xlfn.IFS(IFERROR(FIND("M-3SII",B369),-1)&gt;0,"J_M3S2",IFERROR(FIND("M-V",B369),-1)&gt;0,"J_M5",IFERROR(FIND("M-4S",B369),-1)&gt;0,"J_M4S",IFERROR(FIND("M-3C",B369),-1)&gt;0,"J_M3C",IFERROR(FIND("M-3S",B369),-1)&gt;0,"J_M3S",IFERROR(FIND("M-3H",B369),-1)&gt;0,"J_M3H",IFERROR(FIND("H-IIA",B369),-1)&gt;0,"J_H2A",IFERROR(FIND("H-IIB",B369),-1)&gt;0,"J_H2B",IFERROR(FIND("H-II",B369),-1)&gt;0,"J_H2",IFERROR(FIND("H-I",B369),-1)&gt;0,"J_H1",IFERROR(FIND("N-II",B369),-1)&gt;0,"J_N2",IFERROR(FIND("N-I",B369),-1)&gt;0,"J_N1",IFERROR(FIND("イプシロン",B369),-1)&gt;0,"J_E",TRUE,"")</f>
        <v/>
      </c>
      <c r="G369" t="str">
        <f t="shared" si="16"/>
        <v/>
      </c>
    </row>
    <row r="370" spans="1:9" ht="40.5" x14ac:dyDescent="0.15">
      <c r="A370" s="1" t="s">
        <v>1904</v>
      </c>
      <c r="B370" s="2" t="s">
        <v>1908</v>
      </c>
      <c r="C370">
        <f t="shared" ref="C370" si="17">LEN(B370)</f>
        <v>167</v>
      </c>
      <c r="D370" t="s">
        <v>1906</v>
      </c>
      <c r="E370" t="str" cm="1">
        <f t="array" ref="E370">_xlfn.IFS(IFERROR(FIND("M-3SII",B370),-1)&gt;0,"J_M3S2",IFERROR(FIND("M-V",B370),-1)&gt;0,"J_M5",IFERROR(FIND("M-4S",B370),-1)&gt;0,"J_M4S",IFERROR(FIND("M-3C",B370),-1)&gt;0,"J_M3C",IFERROR(FIND("M-3S",B370),-1)&gt;0,"J_M3S",IFERROR(FIND("M-3H",B370),-1)&gt;0,"J_M3H",IFERROR(FIND("H-IIA",B370),-1)&gt;0,"J_H2A",IFERROR(FIND("H-IIB",B370),-1)&gt;0,"J_H2B",IFERROR(FIND("H-II",B370),-1)&gt;0,"J_H2",IFERROR(FIND("H-I",B370),-1)&gt;0,"J_H1",IFERROR(FIND("N-II",B370),-1)&gt;0,"J_N2",IFERROR(FIND("N-I",B370),-1)&gt;0,"J_N1",IFERROR(FIND("イプシロン",B370),-1)&gt;0,"J_E",TRUE,"")</f>
        <v/>
      </c>
      <c r="G370" t="str">
        <f t="shared" ref="G370" si="18">IF(E370&lt;&gt;"",E370&amp;"_"&amp;F370,"")</f>
        <v/>
      </c>
      <c r="H370">
        <v>20260308</v>
      </c>
      <c r="I370" t="s">
        <v>1907</v>
      </c>
    </row>
    <row r="371" spans="1:9" ht="27" x14ac:dyDescent="0.15">
      <c r="A371" s="1" t="s">
        <v>817</v>
      </c>
      <c r="B371" s="2" t="s">
        <v>311</v>
      </c>
      <c r="C371">
        <f t="shared" si="15"/>
        <v>66</v>
      </c>
      <c r="D371" t="s">
        <v>1524</v>
      </c>
      <c r="E371" t="str" cm="1">
        <f t="array" ref="E371">_xlfn.IFS(IFERROR(FIND("M-3SII",B371),-1)&gt;0,"J_M3S2",IFERROR(FIND("M-V",B371),-1)&gt;0,"J_M5",IFERROR(FIND("M-4S",B371),-1)&gt;0,"J_M4S",IFERROR(FIND("M-3C",B371),-1)&gt;0,"J_M3C",IFERROR(FIND("M-3S",B371),-1)&gt;0,"J_M3S",IFERROR(FIND("M-3H",B371),-1)&gt;0,"J_M3H",IFERROR(FIND("H-IIA",B371),-1)&gt;0,"J_H2A",IFERROR(FIND("H-IIB",B371),-1)&gt;0,"J_H2B",IFERROR(FIND("H-II",B371),-1)&gt;0,"J_H2",IFERROR(FIND("H-I",B371),-1)&gt;0,"J_H1",IFERROR(FIND("N-II",B371),-1)&gt;0,"J_N2",IFERROR(FIND("N-I",B371),-1)&gt;0,"J_N1",IFERROR(FIND("イプシロン",B371),-1)&gt;0,"J_E",TRUE,"")</f>
        <v/>
      </c>
      <c r="G371" t="str">
        <f t="shared" si="16"/>
        <v/>
      </c>
    </row>
    <row r="372" spans="1:9" ht="27" x14ac:dyDescent="0.15">
      <c r="A372" s="1" t="s">
        <v>819</v>
      </c>
      <c r="B372" s="2" t="s">
        <v>312</v>
      </c>
      <c r="C372">
        <f t="shared" si="15"/>
        <v>79</v>
      </c>
      <c r="D372" t="s">
        <v>1278</v>
      </c>
      <c r="E372" t="str" cm="1">
        <f t="array" ref="E372">_xlfn.IFS(IFERROR(FIND("M-3SII",B372),-1)&gt;0,"J_M3S2",IFERROR(FIND("M-V",B372),-1)&gt;0,"J_M5",IFERROR(FIND("M-4S",B372),-1)&gt;0,"J_M4S",IFERROR(FIND("M-3C",B372),-1)&gt;0,"J_M3C",IFERROR(FIND("M-3S",B372),-1)&gt;0,"J_M3S",IFERROR(FIND("M-3H",B372),-1)&gt;0,"J_M3H",IFERROR(FIND("H-IIA",B372),-1)&gt;0,"J_H2A",IFERROR(FIND("H-IIB",B372),-1)&gt;0,"J_H2B",IFERROR(FIND("H-II",B372),-1)&gt;0,"J_H2",IFERROR(FIND("H-I",B372),-1)&gt;0,"J_H1",IFERROR(FIND("N-II",B372),-1)&gt;0,"J_N2",IFERROR(FIND("N-I",B372),-1)&gt;0,"J_N1",IFERROR(FIND("イプシロン",B372),-1)&gt;0,"J_E",TRUE,"")</f>
        <v/>
      </c>
      <c r="G372" t="str">
        <f t="shared" si="16"/>
        <v/>
      </c>
    </row>
    <row r="373" spans="1:9" ht="27" x14ac:dyDescent="0.15">
      <c r="A373" s="1" t="s">
        <v>821</v>
      </c>
      <c r="B373" s="2" t="s">
        <v>314</v>
      </c>
      <c r="C373">
        <f t="shared" si="15"/>
        <v>110</v>
      </c>
      <c r="D373" t="s">
        <v>1280</v>
      </c>
      <c r="E373" t="str" cm="1">
        <f t="array" ref="E373">_xlfn.IFS(IFERROR(FIND("M-3SII",B373),-1)&gt;0,"J_M3S2",IFERROR(FIND("M-V",B373),-1)&gt;0,"J_M5",IFERROR(FIND("M-4S",B373),-1)&gt;0,"J_M4S",IFERROR(FIND("M-3C",B373),-1)&gt;0,"J_M3C",IFERROR(FIND("M-3S",B373),-1)&gt;0,"J_M3S",IFERROR(FIND("M-3H",B373),-1)&gt;0,"J_M3H",IFERROR(FIND("H-IIA",B373),-1)&gt;0,"J_H2A",IFERROR(FIND("H-IIB",B373),-1)&gt;0,"J_H2B",IFERROR(FIND("H-II",B373),-1)&gt;0,"J_H2",IFERROR(FIND("H-I",B373),-1)&gt;0,"J_H1",IFERROR(FIND("N-II",B373),-1)&gt;0,"J_N2",IFERROR(FIND("N-I",B373),-1)&gt;0,"J_N1",IFERROR(FIND("イプシロン",B373),-1)&gt;0,"J_E",TRUE,"")</f>
        <v>J_H1</v>
      </c>
      <c r="F373">
        <v>8</v>
      </c>
      <c r="G373" t="str">
        <f t="shared" si="16"/>
        <v>J_H1_8</v>
      </c>
    </row>
    <row r="374" spans="1:9" x14ac:dyDescent="0.15">
      <c r="A374" s="1" t="s">
        <v>820</v>
      </c>
      <c r="B374" s="2" t="s">
        <v>313</v>
      </c>
      <c r="C374">
        <f t="shared" si="15"/>
        <v>51</v>
      </c>
      <c r="D374" t="s">
        <v>1525</v>
      </c>
      <c r="E374" t="str" cm="1">
        <f t="array" ref="E374">_xlfn.IFS(IFERROR(FIND("M-3SII",B374),-1)&gt;0,"J_M3S2",IFERROR(FIND("M-V",B374),-1)&gt;0,"J_M5",IFERROR(FIND("M-4S",B374),-1)&gt;0,"J_M4S",IFERROR(FIND("M-3C",B374),-1)&gt;0,"J_M3C",IFERROR(FIND("M-3S",B374),-1)&gt;0,"J_M3S",IFERROR(FIND("M-3H",B374),-1)&gt;0,"J_M3H",IFERROR(FIND("H-IIA",B374),-1)&gt;0,"J_H2A",IFERROR(FIND("H-IIB",B374),-1)&gt;0,"J_H2B",IFERROR(FIND("H-II",B374),-1)&gt;0,"J_H2",IFERROR(FIND("H-I",B374),-1)&gt;0,"J_H1",IFERROR(FIND("N-II",B374),-1)&gt;0,"J_N2",IFERROR(FIND("N-I",B374),-1)&gt;0,"J_N1",IFERROR(FIND("イプシロン",B374),-1)&gt;0,"J_E",TRUE,"")</f>
        <v>J_H1</v>
      </c>
      <c r="F374">
        <v>8</v>
      </c>
      <c r="G374" t="str">
        <f t="shared" si="16"/>
        <v>J_H1_8</v>
      </c>
    </row>
    <row r="375" spans="1:9" ht="27" x14ac:dyDescent="0.15">
      <c r="A375" s="1" t="s">
        <v>822</v>
      </c>
      <c r="B375" s="2" t="s">
        <v>315</v>
      </c>
      <c r="C375">
        <f t="shared" si="15"/>
        <v>88</v>
      </c>
      <c r="D375" t="s">
        <v>1281</v>
      </c>
      <c r="E375" t="str" cm="1">
        <f t="array" ref="E375">_xlfn.IFS(IFERROR(FIND("M-3SII",B375),-1)&gt;0,"J_M3S2",IFERROR(FIND("M-V",B375),-1)&gt;0,"J_M5",IFERROR(FIND("M-4S",B375),-1)&gt;0,"J_M4S",IFERROR(FIND("M-3C",B375),-1)&gt;0,"J_M3C",IFERROR(FIND("M-3S",B375),-1)&gt;0,"J_M3S",IFERROR(FIND("M-3H",B375),-1)&gt;0,"J_M3H",IFERROR(FIND("H-IIA",B375),-1)&gt;0,"J_H2A",IFERROR(FIND("H-IIB",B375),-1)&gt;0,"J_H2B",IFERROR(FIND("H-II",B375),-1)&gt;0,"J_H2",IFERROR(FIND("H-I",B375),-1)&gt;0,"J_H1",IFERROR(FIND("N-II",B375),-1)&gt;0,"J_N2",IFERROR(FIND("N-I",B375),-1)&gt;0,"J_N1",IFERROR(FIND("イプシロン",B375),-1)&gt;0,"J_E",TRUE,"")</f>
        <v/>
      </c>
      <c r="G375" t="str">
        <f t="shared" si="16"/>
        <v/>
      </c>
    </row>
    <row r="376" spans="1:9" ht="27" x14ac:dyDescent="0.15">
      <c r="A376" s="1" t="s">
        <v>1830</v>
      </c>
      <c r="B376" s="2" t="s">
        <v>1831</v>
      </c>
      <c r="C376">
        <f t="shared" si="15"/>
        <v>119</v>
      </c>
      <c r="D376" t="s">
        <v>1829</v>
      </c>
      <c r="E376" t="s">
        <v>1590</v>
      </c>
      <c r="F376">
        <v>47</v>
      </c>
      <c r="G376" t="str">
        <f t="shared" ref="G376" si="19">IF(E376&lt;&gt;"",E376&amp;"_"&amp;F376,"")</f>
        <v>J_H2A_47</v>
      </c>
      <c r="H376">
        <v>20240226</v>
      </c>
      <c r="I376" t="s">
        <v>1007</v>
      </c>
    </row>
    <row r="377" spans="1:9" ht="27" x14ac:dyDescent="0.15">
      <c r="A377" s="1" t="s">
        <v>1832</v>
      </c>
      <c r="B377" s="2" t="s">
        <v>1833</v>
      </c>
      <c r="C377">
        <f t="shared" si="15"/>
        <v>110</v>
      </c>
      <c r="D377" t="s">
        <v>1828</v>
      </c>
      <c r="E377" t="s">
        <v>1590</v>
      </c>
      <c r="F377">
        <v>47</v>
      </c>
      <c r="G377" t="str">
        <f t="shared" ref="G377" si="20">IF(E377&lt;&gt;"",E377&amp;"_"&amp;F377,"")</f>
        <v>J_H2A_47</v>
      </c>
      <c r="H377">
        <v>20240227</v>
      </c>
      <c r="I377" t="s">
        <v>1531</v>
      </c>
    </row>
    <row r="378" spans="1:9" ht="27" x14ac:dyDescent="0.15">
      <c r="A378" s="1" t="s">
        <v>824</v>
      </c>
      <c r="B378" s="2" t="s">
        <v>317</v>
      </c>
      <c r="C378">
        <f t="shared" si="15"/>
        <v>86</v>
      </c>
      <c r="D378" t="s">
        <v>1282</v>
      </c>
      <c r="E378" t="str" cm="1">
        <f t="array" ref="E378">_xlfn.IFS(IFERROR(FIND("M-3SII",B378),-1)&gt;0,"J_M3S2",IFERROR(FIND("M-V",B378),-1)&gt;0,"J_M5",IFERROR(FIND("M-4S",B378),-1)&gt;0,"J_M4S",IFERROR(FIND("M-3C",B378),-1)&gt;0,"J_M3C",IFERROR(FIND("M-3S",B378),-1)&gt;0,"J_M3S",IFERROR(FIND("M-3H",B378),-1)&gt;0,"J_M3H",IFERROR(FIND("H-IIA",B378),-1)&gt;0,"J_H2A",IFERROR(FIND("H-IIB",B378),-1)&gt;0,"J_H2B",IFERROR(FIND("H-II",B378),-1)&gt;0,"J_H2",IFERROR(FIND("H-I",B378),-1)&gt;0,"J_H1",IFERROR(FIND("N-II",B378),-1)&gt;0,"J_N2",IFERROR(FIND("N-I",B378),-1)&gt;0,"J_N1",IFERROR(FIND("イプシロン",B378),-1)&gt;0,"J_E",TRUE,"")</f>
        <v>J_H1</v>
      </c>
      <c r="F378">
        <v>2</v>
      </c>
      <c r="G378" t="str">
        <f t="shared" si="16"/>
        <v>J_H1_2</v>
      </c>
    </row>
    <row r="379" spans="1:9" x14ac:dyDescent="0.15">
      <c r="A379" s="1" t="s">
        <v>823</v>
      </c>
      <c r="B379" s="2" t="s">
        <v>316</v>
      </c>
      <c r="C379">
        <f t="shared" si="15"/>
        <v>52</v>
      </c>
      <c r="D379" t="s">
        <v>1526</v>
      </c>
      <c r="E379" t="str" cm="1">
        <f t="array" ref="E379">_xlfn.IFS(IFERROR(FIND("M-3SII",B379),-1)&gt;0,"J_M3S2",IFERROR(FIND("M-V",B379),-1)&gt;0,"J_M5",IFERROR(FIND("M-4S",B379),-1)&gt;0,"J_M4S",IFERROR(FIND("M-3C",B379),-1)&gt;0,"J_M3C",IFERROR(FIND("M-3S",B379),-1)&gt;0,"J_M3S",IFERROR(FIND("M-3H",B379),-1)&gt;0,"J_M3H",IFERROR(FIND("H-IIA",B379),-1)&gt;0,"J_H2A",IFERROR(FIND("H-IIB",B379),-1)&gt;0,"J_H2B",IFERROR(FIND("H-II",B379),-1)&gt;0,"J_H2",IFERROR(FIND("H-I",B379),-1)&gt;0,"J_H1",IFERROR(FIND("N-II",B379),-1)&gt;0,"J_N2",IFERROR(FIND("N-I",B379),-1)&gt;0,"J_N1",IFERROR(FIND("イプシロン",B379),-1)&gt;0,"J_E",TRUE,"")</f>
        <v>J_H1</v>
      </c>
      <c r="F379">
        <v>2</v>
      </c>
      <c r="G379" t="str">
        <f t="shared" si="16"/>
        <v>J_H1_2</v>
      </c>
    </row>
    <row r="380" spans="1:9" ht="27" x14ac:dyDescent="0.15">
      <c r="A380" s="1" t="s">
        <v>827</v>
      </c>
      <c r="B380" s="2" t="s">
        <v>319</v>
      </c>
      <c r="C380">
        <f t="shared" si="15"/>
        <v>96</v>
      </c>
      <c r="D380" t="s">
        <v>1283</v>
      </c>
      <c r="E380" t="str" cm="1">
        <f t="array" ref="E380">_xlfn.IFS(IFERROR(FIND("M-3SII",B380),-1)&gt;0,"J_M3S2",IFERROR(FIND("M-V",B380),-1)&gt;0,"J_M5",IFERROR(FIND("M-4S",B380),-1)&gt;0,"J_M4S",IFERROR(FIND("M-3C",B380),-1)&gt;0,"J_M3C",IFERROR(FIND("M-3S",B380),-1)&gt;0,"J_M3S",IFERROR(FIND("M-3H",B380),-1)&gt;0,"J_M3H",IFERROR(FIND("H-IIA",B380),-1)&gt;0,"J_H2A",IFERROR(FIND("H-IIB",B380),-1)&gt;0,"J_H2B",IFERROR(FIND("H-II",B380),-1)&gt;0,"J_H2",IFERROR(FIND("H-I",B380),-1)&gt;0,"J_H1",IFERROR(FIND("N-II",B380),-1)&gt;0,"J_N2",IFERROR(FIND("N-I",B380),-1)&gt;0,"J_N1",IFERROR(FIND("イプシロン",B380),-1)&gt;0,"J_E",TRUE,"")</f>
        <v>J_H2</v>
      </c>
      <c r="F380">
        <v>2</v>
      </c>
      <c r="G380" t="str">
        <f t="shared" si="16"/>
        <v>J_H2_2</v>
      </c>
    </row>
    <row r="381" spans="1:9" x14ac:dyDescent="0.15">
      <c r="A381" s="1" t="s">
        <v>825</v>
      </c>
      <c r="B381" s="2" t="s">
        <v>318</v>
      </c>
      <c r="C381">
        <f t="shared" si="15"/>
        <v>56</v>
      </c>
      <c r="D381" t="s">
        <v>1527</v>
      </c>
      <c r="E381" t="str" cm="1">
        <f t="array" ref="E381">_xlfn.IFS(IFERROR(FIND("M-3SII",B381),-1)&gt;0,"J_M3S2",IFERROR(FIND("M-V",B381),-1)&gt;0,"J_M5",IFERROR(FIND("M-4S",B381),-1)&gt;0,"J_M4S",IFERROR(FIND("M-3C",B381),-1)&gt;0,"J_M3C",IFERROR(FIND("M-3S",B381),-1)&gt;0,"J_M3S",IFERROR(FIND("M-3H",B381),-1)&gt;0,"J_M3H",IFERROR(FIND("H-IIA",B381),-1)&gt;0,"J_H2A",IFERROR(FIND("H-IIB",B381),-1)&gt;0,"J_H2B",IFERROR(FIND("H-II",B381),-1)&gt;0,"J_H2",IFERROR(FIND("H-I",B381),-1)&gt;0,"J_H1",IFERROR(FIND("N-II",B381),-1)&gt;0,"J_N2",IFERROR(FIND("N-I",B381),-1)&gt;0,"J_N1",IFERROR(FIND("イプシロン",B381),-1)&gt;0,"J_E",TRUE,"")</f>
        <v>J_H2</v>
      </c>
      <c r="F381">
        <v>2</v>
      </c>
      <c r="G381" t="str">
        <f t="shared" si="16"/>
        <v>J_H2_2</v>
      </c>
    </row>
    <row r="382" spans="1:9" ht="27" x14ac:dyDescent="0.15">
      <c r="A382" s="1" t="s">
        <v>827</v>
      </c>
      <c r="B382" s="2" t="s">
        <v>320</v>
      </c>
      <c r="C382">
        <f t="shared" si="15"/>
        <v>99</v>
      </c>
      <c r="D382" t="s">
        <v>1528</v>
      </c>
      <c r="E382" t="str" cm="1">
        <f t="array" ref="E382">_xlfn.IFS(IFERROR(FIND("M-3SII",B382),-1)&gt;0,"J_M3S2",IFERROR(FIND("M-V",B382),-1)&gt;0,"J_M5",IFERROR(FIND("M-4S",B382),-1)&gt;0,"J_M4S",IFERROR(FIND("M-3C",B382),-1)&gt;0,"J_M3C",IFERROR(FIND("M-3S",B382),-1)&gt;0,"J_M3S",IFERROR(FIND("M-3H",B382),-1)&gt;0,"J_M3H",IFERROR(FIND("H-IIA",B382),-1)&gt;0,"J_H2A",IFERROR(FIND("H-IIB",B382),-1)&gt;0,"J_H2B",IFERROR(FIND("H-II",B382),-1)&gt;0,"J_H2",IFERROR(FIND("H-I",B382),-1)&gt;0,"J_H1",IFERROR(FIND("N-II",B382),-1)&gt;0,"J_N2",IFERROR(FIND("N-I",B382),-1)&gt;0,"J_N1",IFERROR(FIND("イプシロン",B382),-1)&gt;0,"J_E",TRUE,"")</f>
        <v>J_H1</v>
      </c>
      <c r="F382">
        <v>7</v>
      </c>
      <c r="G382" t="str">
        <f t="shared" si="16"/>
        <v>J_H1_7</v>
      </c>
    </row>
    <row r="383" spans="1:9" x14ac:dyDescent="0.15">
      <c r="A383" s="1" t="s">
        <v>826</v>
      </c>
      <c r="B383" s="2" t="s">
        <v>1530</v>
      </c>
      <c r="C383">
        <f t="shared" si="15"/>
        <v>51</v>
      </c>
      <c r="D383" t="s">
        <v>1529</v>
      </c>
      <c r="E383" t="str" cm="1">
        <f t="array" ref="E383">_xlfn.IFS(IFERROR(FIND("M-3SII",B383),-1)&gt;0,"J_M3S2",IFERROR(FIND("M-V",B383),-1)&gt;0,"J_M5",IFERROR(FIND("M-4S",B383),-1)&gt;0,"J_M4S",IFERROR(FIND("M-3C",B383),-1)&gt;0,"J_M3C",IFERROR(FIND("M-3S",B383),-1)&gt;0,"J_M3S",IFERROR(FIND("M-3H",B383),-1)&gt;0,"J_M3H",IFERROR(FIND("H-IIA",B383),-1)&gt;0,"J_H2A",IFERROR(FIND("H-IIB",B383),-1)&gt;0,"J_H2B",IFERROR(FIND("H-II",B383),-1)&gt;0,"J_H2",IFERROR(FIND("H-I",B383),-1)&gt;0,"J_H1",IFERROR(FIND("N-II",B383),-1)&gt;0,"J_N2",IFERROR(FIND("N-I",B383),-1)&gt;0,"J_N1",IFERROR(FIND("イプシロン",B383),-1)&gt;0,"J_E",TRUE,"")</f>
        <v>J_H1</v>
      </c>
      <c r="F383">
        <v>7</v>
      </c>
      <c r="G383" t="str">
        <f t="shared" si="16"/>
        <v>J_H1_7</v>
      </c>
      <c r="H383">
        <v>20240224</v>
      </c>
      <c r="I383" t="s">
        <v>1531</v>
      </c>
    </row>
    <row r="384" spans="1:9" ht="27" x14ac:dyDescent="0.15">
      <c r="A384" s="1" t="s">
        <v>829</v>
      </c>
      <c r="B384" s="2" t="s">
        <v>322</v>
      </c>
      <c r="C384">
        <f t="shared" si="15"/>
        <v>100</v>
      </c>
      <c r="D384" t="s">
        <v>1284</v>
      </c>
      <c r="E384" t="str" cm="1">
        <f t="array" ref="E384">_xlfn.IFS(IFERROR(FIND("M-3SII",B384),-1)&gt;0,"J_M3S2",IFERROR(FIND("M-V",B384),-1)&gt;0,"J_M5",IFERROR(FIND("M-4S",B384),-1)&gt;0,"J_M4S",IFERROR(FIND("M-3C",B384),-1)&gt;0,"J_M3C",IFERROR(FIND("M-3S",B384),-1)&gt;0,"J_M3S",IFERROR(FIND("M-3H",B384),-1)&gt;0,"J_M3H",IFERROR(FIND("H-IIA",B384),-1)&gt;0,"J_H2A",IFERROR(FIND("H-IIB",B384),-1)&gt;0,"J_H2B",IFERROR(FIND("H-II",B384),-1)&gt;0,"J_H2",IFERROR(FIND("H-I",B384),-1)&gt;0,"J_H1",IFERROR(FIND("N-II",B384),-1)&gt;0,"J_N2",IFERROR(FIND("N-I",B384),-1)&gt;0,"J_N1",IFERROR(FIND("イプシロン",B384),-1)&gt;0,"J_E",TRUE,"")</f>
        <v>J_H2A</v>
      </c>
      <c r="F384">
        <v>1</v>
      </c>
      <c r="G384" t="str">
        <f t="shared" si="16"/>
        <v>J_H2A_1</v>
      </c>
    </row>
    <row r="385" spans="1:9" ht="27" x14ac:dyDescent="0.15">
      <c r="A385" s="1" t="s">
        <v>828</v>
      </c>
      <c r="B385" s="2" t="s">
        <v>321</v>
      </c>
      <c r="C385">
        <f t="shared" si="15"/>
        <v>73</v>
      </c>
      <c r="D385" t="s">
        <v>1532</v>
      </c>
      <c r="E385" t="str" cm="1">
        <f t="array" ref="E385">_xlfn.IFS(IFERROR(FIND("M-3SII",B385),-1)&gt;0,"J_M3S2",IFERROR(FIND("M-V",B385),-1)&gt;0,"J_M5",IFERROR(FIND("M-4S",B385),-1)&gt;0,"J_M4S",IFERROR(FIND("M-3C",B385),-1)&gt;0,"J_M3C",IFERROR(FIND("M-3S",B385),-1)&gt;0,"J_M3S",IFERROR(FIND("M-3H",B385),-1)&gt;0,"J_M3H",IFERROR(FIND("H-IIA",B385),-1)&gt;0,"J_H2A",IFERROR(FIND("H-IIB",B385),-1)&gt;0,"J_H2B",IFERROR(FIND("H-II",B385),-1)&gt;0,"J_H2",IFERROR(FIND("H-I",B385),-1)&gt;0,"J_H1",IFERROR(FIND("N-II",B385),-1)&gt;0,"J_N2",IFERROR(FIND("N-I",B385),-1)&gt;0,"J_N1",IFERROR(FIND("イプシロン",B385),-1)&gt;0,"J_E",TRUE,"")</f>
        <v>J_H2A</v>
      </c>
      <c r="F385">
        <v>1</v>
      </c>
      <c r="G385" t="str">
        <f t="shared" si="16"/>
        <v>J_H2A_1</v>
      </c>
    </row>
    <row r="386" spans="1:9" ht="27" x14ac:dyDescent="0.15">
      <c r="A386" s="1" t="s">
        <v>831</v>
      </c>
      <c r="B386" s="2" t="s">
        <v>1626</v>
      </c>
      <c r="C386">
        <f t="shared" si="15"/>
        <v>98</v>
      </c>
      <c r="D386" t="s">
        <v>1285</v>
      </c>
      <c r="E386" t="str" cm="1">
        <f t="array" ref="E386">_xlfn.IFS(IFERROR(FIND("M-3SII",B386),-1)&gt;0,"J_M3S2",IFERROR(FIND("M-V",B386),-1)&gt;0,"J_M5",IFERROR(FIND("M-4S",B386),-1)&gt;0,"J_M4S",IFERROR(FIND("M-3C",B386),-1)&gt;0,"J_M3C",IFERROR(FIND("M-3S",B386),-1)&gt;0,"J_M3S",IFERROR(FIND("M-3H",B386),-1)&gt;0,"J_M3H",IFERROR(FIND("H-IIA",B386),-1)&gt;0,"J_H2A",IFERROR(FIND("H-IIB",B386),-1)&gt;0,"J_H2B",IFERROR(FIND("H-II",B386),-1)&gt;0,"J_H2",IFERROR(FIND("H-I",B386),-1)&gt;0,"J_H1",IFERROR(FIND("N-II",B386),-1)&gt;0,"J_N2",IFERROR(FIND("N-I",B386),-1)&gt;0,"J_N1",IFERROR(FIND("イプシロン",B386),-1)&gt;0,"J_E",TRUE,"")</f>
        <v>J_M3S2</v>
      </c>
      <c r="F386">
        <v>6</v>
      </c>
      <c r="G386" t="str">
        <f t="shared" si="16"/>
        <v>J_M3S2_6</v>
      </c>
    </row>
    <row r="387" spans="1:9" x14ac:dyDescent="0.15">
      <c r="A387" s="1" t="s">
        <v>830</v>
      </c>
      <c r="B387" s="2" t="s">
        <v>323</v>
      </c>
      <c r="C387">
        <f t="shared" si="15"/>
        <v>55</v>
      </c>
      <c r="D387" t="s">
        <v>1533</v>
      </c>
      <c r="E387" t="str" cm="1">
        <f t="array" ref="E387">_xlfn.IFS(IFERROR(FIND("M-3SII",B387),-1)&gt;0,"J_M3S2",IFERROR(FIND("M-V",B387),-1)&gt;0,"J_M5",IFERROR(FIND("M-4S",B387),-1)&gt;0,"J_M4S",IFERROR(FIND("M-3C",B387),-1)&gt;0,"J_M3C",IFERROR(FIND("M-3S",B387),-1)&gt;0,"J_M3S",IFERROR(FIND("M-3H",B387),-1)&gt;0,"J_M3H",IFERROR(FIND("H-IIA",B387),-1)&gt;0,"J_H2A",IFERROR(FIND("H-IIB",B387),-1)&gt;0,"J_H2B",IFERROR(FIND("H-II",B387),-1)&gt;0,"J_H2",IFERROR(FIND("H-I",B387),-1)&gt;0,"J_H1",IFERROR(FIND("N-II",B387),-1)&gt;0,"J_N2",IFERROR(FIND("N-I",B387),-1)&gt;0,"J_N1",IFERROR(FIND("イプシロン",B387),-1)&gt;0,"J_E",TRUE,"")</f>
        <v>J_M3S2</v>
      </c>
      <c r="F387">
        <v>6</v>
      </c>
      <c r="G387" t="str">
        <f t="shared" si="16"/>
        <v>J_M3S2_6</v>
      </c>
    </row>
    <row r="388" spans="1:9" ht="27" x14ac:dyDescent="0.15">
      <c r="A388" s="1" t="s">
        <v>832</v>
      </c>
      <c r="B388" s="2" t="s">
        <v>324</v>
      </c>
      <c r="C388">
        <f t="shared" si="15"/>
        <v>99</v>
      </c>
      <c r="D388" t="s">
        <v>1286</v>
      </c>
      <c r="E388" t="str" cm="1">
        <f t="array" ref="E388">_xlfn.IFS(IFERROR(FIND("M-3SII",B388),-1)&gt;0,"J_M3S2",IFERROR(FIND("M-V",B388),-1)&gt;0,"J_M5",IFERROR(FIND("M-4S",B388),-1)&gt;0,"J_M4S",IFERROR(FIND("M-3C",B388),-1)&gt;0,"J_M3C",IFERROR(FIND("M-3S",B388),-1)&gt;0,"J_M3S",IFERROR(FIND("M-3H",B388),-1)&gt;0,"J_M3H",IFERROR(FIND("H-IIA",B388),-1)&gt;0,"J_H2A",IFERROR(FIND("H-IIB",B388),-1)&gt;0,"J_H2B",IFERROR(FIND("H-II",B388),-1)&gt;0,"J_H2",IFERROR(FIND("H-I",B388),-1)&gt;0,"J_H1",IFERROR(FIND("N-II",B388),-1)&gt;0,"J_N2",IFERROR(FIND("N-I",B388),-1)&gt;0,"J_N1",IFERROR(FIND("イプシロン",B388),-1)&gt;0,"J_E",TRUE,"")</f>
        <v/>
      </c>
      <c r="G388" t="str">
        <f t="shared" si="16"/>
        <v/>
      </c>
    </row>
    <row r="389" spans="1:9" ht="27" x14ac:dyDescent="0.15">
      <c r="A389" s="1" t="s">
        <v>833</v>
      </c>
      <c r="B389" s="2" t="s">
        <v>325</v>
      </c>
      <c r="C389">
        <f t="shared" si="15"/>
        <v>81</v>
      </c>
      <c r="D389" t="s">
        <v>1287</v>
      </c>
      <c r="E389" t="str" cm="1">
        <f t="array" ref="E389">_xlfn.IFS(IFERROR(FIND("M-3SII",B389),-1)&gt;0,"J_M3S2",IFERROR(FIND("M-V",B389),-1)&gt;0,"J_M5",IFERROR(FIND("M-4S",B389),-1)&gt;0,"J_M4S",IFERROR(FIND("M-3C",B389),-1)&gt;0,"J_M3C",IFERROR(FIND("M-3S",B389),-1)&gt;0,"J_M3S",IFERROR(FIND("M-3H",B389),-1)&gt;0,"J_M3H",IFERROR(FIND("H-IIA",B389),-1)&gt;0,"J_H2A",IFERROR(FIND("H-IIB",B389),-1)&gt;0,"J_H2B",IFERROR(FIND("H-II",B389),-1)&gt;0,"J_H2",IFERROR(FIND("H-I",B389),-1)&gt;0,"J_H1",IFERROR(FIND("N-II",B389),-1)&gt;0,"J_N2",IFERROR(FIND("N-I",B389),-1)&gt;0,"J_N1",IFERROR(FIND("イプシロン",B389),-1)&gt;0,"J_E",TRUE,"")</f>
        <v/>
      </c>
      <c r="G389" t="str">
        <f t="shared" si="16"/>
        <v/>
      </c>
    </row>
    <row r="390" spans="1:9" ht="27" x14ac:dyDescent="0.15">
      <c r="A390" s="1" t="s">
        <v>834</v>
      </c>
      <c r="B390" s="2" t="s">
        <v>326</v>
      </c>
      <c r="C390">
        <f t="shared" si="15"/>
        <v>88</v>
      </c>
      <c r="D390" t="s">
        <v>1288</v>
      </c>
      <c r="E390" t="str" cm="1">
        <f t="array" ref="E390">_xlfn.IFS(IFERROR(FIND("M-3SII",B390),-1)&gt;0,"J_M3S2",IFERROR(FIND("M-V",B390),-1)&gt;0,"J_M5",IFERROR(FIND("M-4S",B390),-1)&gt;0,"J_M4S",IFERROR(FIND("M-3C",B390),-1)&gt;0,"J_M3C",IFERROR(FIND("M-3S",B390),-1)&gt;0,"J_M3S",IFERROR(FIND("M-3H",B390),-1)&gt;0,"J_M3H",IFERROR(FIND("H-IIA",B390),-1)&gt;0,"J_H2A",IFERROR(FIND("H-IIB",B390),-1)&gt;0,"J_H2B",IFERROR(FIND("H-II",B390),-1)&gt;0,"J_H2",IFERROR(FIND("H-I",B390),-1)&gt;0,"J_H1",IFERROR(FIND("N-II",B390),-1)&gt;0,"J_N2",IFERROR(FIND("N-I",B390),-1)&gt;0,"J_N1",IFERROR(FIND("イプシロン",B390),-1)&gt;0,"J_E",TRUE,"")</f>
        <v/>
      </c>
      <c r="G390" t="str">
        <f t="shared" si="16"/>
        <v/>
      </c>
    </row>
    <row r="391" spans="1:9" ht="27" x14ac:dyDescent="0.15">
      <c r="A391" s="1" t="s">
        <v>836</v>
      </c>
      <c r="B391" s="2" t="s">
        <v>328</v>
      </c>
      <c r="C391">
        <f t="shared" si="15"/>
        <v>92</v>
      </c>
      <c r="D391" t="s">
        <v>1289</v>
      </c>
      <c r="E391" t="str" cm="1">
        <f t="array" ref="E391">_xlfn.IFS(IFERROR(FIND("M-3SII",B391),-1)&gt;0,"J_M3S2",IFERROR(FIND("M-V",B391),-1)&gt;0,"J_M5",IFERROR(FIND("M-4S",B391),-1)&gt;0,"J_M4S",IFERROR(FIND("M-3C",B391),-1)&gt;0,"J_M3C",IFERROR(FIND("M-3S",B391),-1)&gt;0,"J_M3S",IFERROR(FIND("M-3H",B391),-1)&gt;0,"J_M3H",IFERROR(FIND("H-IIA",B391),-1)&gt;0,"J_H2A",IFERROR(FIND("H-IIB",B391),-1)&gt;0,"J_H2B",IFERROR(FIND("H-II",B391),-1)&gt;0,"J_H2",IFERROR(FIND("H-I",B391),-1)&gt;0,"J_H1",IFERROR(FIND("N-II",B391),-1)&gt;0,"J_N2",IFERROR(FIND("N-I",B391),-1)&gt;0,"J_N1",IFERROR(FIND("イプシロン",B391),-1)&gt;0,"J_E",TRUE,"")</f>
        <v>J_N1</v>
      </c>
      <c r="F391">
        <v>7</v>
      </c>
      <c r="G391" t="str">
        <f t="shared" si="16"/>
        <v>J_N1_7</v>
      </c>
    </row>
    <row r="392" spans="1:9" x14ac:dyDescent="0.15">
      <c r="A392" s="1" t="s">
        <v>835</v>
      </c>
      <c r="B392" s="2" t="s">
        <v>327</v>
      </c>
      <c r="C392">
        <f t="shared" si="15"/>
        <v>51</v>
      </c>
      <c r="D392" t="s">
        <v>1534</v>
      </c>
      <c r="E392" t="str" cm="1">
        <f t="array" ref="E392">_xlfn.IFS(IFERROR(FIND("M-3SII",B392),-1)&gt;0,"J_M3S2",IFERROR(FIND("M-V",B392),-1)&gt;0,"J_M5",IFERROR(FIND("M-4S",B392),-1)&gt;0,"J_M4S",IFERROR(FIND("M-3C",B392),-1)&gt;0,"J_M3C",IFERROR(FIND("M-3S",B392),-1)&gt;0,"J_M3S",IFERROR(FIND("M-3H",B392),-1)&gt;0,"J_M3H",IFERROR(FIND("H-IIA",B392),-1)&gt;0,"J_H2A",IFERROR(FIND("H-IIB",B392),-1)&gt;0,"J_H2B",IFERROR(FIND("H-II",B392),-1)&gt;0,"J_H2",IFERROR(FIND("H-I",B392),-1)&gt;0,"J_H1",IFERROR(FIND("N-II",B392),-1)&gt;0,"J_N2",IFERROR(FIND("N-I",B392),-1)&gt;0,"J_N1",IFERROR(FIND("イプシロン",B392),-1)&gt;0,"J_E",TRUE,"")</f>
        <v>J_N1</v>
      </c>
      <c r="F392">
        <v>7</v>
      </c>
      <c r="G392" t="str">
        <f t="shared" si="16"/>
        <v>J_N1_7</v>
      </c>
    </row>
    <row r="393" spans="1:9" x14ac:dyDescent="0.15">
      <c r="A393" s="1" t="s">
        <v>837</v>
      </c>
      <c r="B393" s="2" t="s">
        <v>329</v>
      </c>
      <c r="C393">
        <f t="shared" si="15"/>
        <v>68</v>
      </c>
      <c r="D393" t="s">
        <v>1290</v>
      </c>
      <c r="E393" t="str" cm="1">
        <f t="array" ref="E393">_xlfn.IFS(IFERROR(FIND("M-3SII",B393),-1)&gt;0,"J_M3S2",IFERROR(FIND("M-V",B393),-1)&gt;0,"J_M5",IFERROR(FIND("M-4S",B393),-1)&gt;0,"J_M4S",IFERROR(FIND("M-3C",B393),-1)&gt;0,"J_M3C",IFERROR(FIND("M-3S",B393),-1)&gt;0,"J_M3S",IFERROR(FIND("M-3H",B393),-1)&gt;0,"J_M3H",IFERROR(FIND("H-IIA",B393),-1)&gt;0,"J_H2A",IFERROR(FIND("H-IIB",B393),-1)&gt;0,"J_H2B",IFERROR(FIND("H-II",B393),-1)&gt;0,"J_H2",IFERROR(FIND("H-I",B393),-1)&gt;0,"J_H1",IFERROR(FIND("N-II",B393),-1)&gt;0,"J_N2",IFERROR(FIND("N-I",B393),-1)&gt;0,"J_N1",IFERROR(FIND("イプシロン",B393),-1)&gt;0,"J_E",TRUE,"")</f>
        <v/>
      </c>
      <c r="G393" t="str">
        <f t="shared" si="16"/>
        <v/>
      </c>
    </row>
    <row r="394" spans="1:9" ht="27" x14ac:dyDescent="0.15">
      <c r="A394" s="1" t="s">
        <v>839</v>
      </c>
      <c r="B394" s="2" t="s">
        <v>1014</v>
      </c>
      <c r="C394">
        <f t="shared" si="15"/>
        <v>113</v>
      </c>
      <c r="D394" t="s">
        <v>1292</v>
      </c>
      <c r="E394" t="str" cm="1">
        <f t="array" ref="E394">_xlfn.IFS(IFERROR(FIND("M-3SII",B394),-1)&gt;0,"J_M3S2",IFERROR(FIND("M-V",B394),-1)&gt;0,"J_M5",IFERROR(FIND("M-4S",B394),-1)&gt;0,"J_M4S",IFERROR(FIND("M-3C",B394),-1)&gt;0,"J_M3C",IFERROR(FIND("M-3S",B394),-1)&gt;0,"J_M3S",IFERROR(FIND("M-3H",B394),-1)&gt;0,"J_M3H",IFERROR(FIND("H-IIA",B394),-1)&gt;0,"J_H2A",IFERROR(FIND("H-IIB",B394),-1)&gt;0,"J_H2B",IFERROR(FIND("H-II",B394),-1)&gt;0,"J_H2",IFERROR(FIND("H-I",B394),-1)&gt;0,"J_H1",IFERROR(FIND("N-II",B394),-1)&gt;0,"J_N2",IFERROR(FIND("N-I",B394),-1)&gt;0,"J_N1",IFERROR(FIND("イプシロン",B394),-1)&gt;0,"J_E",TRUE,"")</f>
        <v/>
      </c>
      <c r="G394" t="str">
        <f t="shared" si="16"/>
        <v/>
      </c>
    </row>
    <row r="395" spans="1:9" ht="27" x14ac:dyDescent="0.15">
      <c r="A395" s="1" t="s">
        <v>840</v>
      </c>
      <c r="B395" s="2" t="s">
        <v>331</v>
      </c>
      <c r="C395">
        <f t="shared" si="15"/>
        <v>86</v>
      </c>
      <c r="D395" t="s">
        <v>1535</v>
      </c>
      <c r="E395" t="s">
        <v>1594</v>
      </c>
      <c r="F395">
        <v>5</v>
      </c>
      <c r="G395" t="str">
        <f t="shared" si="16"/>
        <v>J_H1_5</v>
      </c>
    </row>
    <row r="396" spans="1:9" x14ac:dyDescent="0.15">
      <c r="A396" s="1" t="s">
        <v>838</v>
      </c>
      <c r="B396" s="2" t="s">
        <v>330</v>
      </c>
      <c r="C396">
        <f t="shared" si="15"/>
        <v>50</v>
      </c>
      <c r="D396" t="s">
        <v>1536</v>
      </c>
      <c r="E396" t="str" cm="1">
        <f t="array" ref="E396">_xlfn.IFS(IFERROR(FIND("M-3SII",B396),-1)&gt;0,"J_M3S2",IFERROR(FIND("M-V",B396),-1)&gt;0,"J_M5",IFERROR(FIND("M-4S",B396),-1)&gt;0,"J_M4S",IFERROR(FIND("M-3C",B396),-1)&gt;0,"J_M3C",IFERROR(FIND("M-3S",B396),-1)&gt;0,"J_M3S",IFERROR(FIND("M-3H",B396),-1)&gt;0,"J_M3H",IFERROR(FIND("H-IIA",B396),-1)&gt;0,"J_H2A",IFERROR(FIND("H-IIB",B396),-1)&gt;0,"J_H2B",IFERROR(FIND("H-II",B396),-1)&gt;0,"J_H2",IFERROR(FIND("H-I",B396),-1)&gt;0,"J_H1",IFERROR(FIND("N-II",B396),-1)&gt;0,"J_N2",IFERROR(FIND("N-I",B396),-1)&gt;0,"J_N1",IFERROR(FIND("イプシロン",B396),-1)&gt;0,"J_E",TRUE,"")</f>
        <v>J_H1</v>
      </c>
      <c r="F396">
        <v>5</v>
      </c>
      <c r="G396" t="str">
        <f t="shared" si="16"/>
        <v>J_H1_5</v>
      </c>
    </row>
    <row r="397" spans="1:9" ht="27" x14ac:dyDescent="0.15">
      <c r="A397" s="1" t="s">
        <v>841</v>
      </c>
      <c r="B397" s="2" t="s">
        <v>332</v>
      </c>
      <c r="C397">
        <f t="shared" si="15"/>
        <v>91</v>
      </c>
      <c r="D397" t="s">
        <v>1291</v>
      </c>
      <c r="E397" t="str" cm="1">
        <f t="array" ref="E397">_xlfn.IFS(IFERROR(FIND("M-3SII",B397),-1)&gt;0,"J_M3S2",IFERROR(FIND("M-V",B397),-1)&gt;0,"J_M5",IFERROR(FIND("M-4S",B397),-1)&gt;0,"J_M4S",IFERROR(FIND("M-3C",B397),-1)&gt;0,"J_M3C",IFERROR(FIND("M-3S",B397),-1)&gt;0,"J_M3S",IFERROR(FIND("M-3H",B397),-1)&gt;0,"J_M3H",IFERROR(FIND("H-IIA",B397),-1)&gt;0,"J_H2A",IFERROR(FIND("H-IIB",B397),-1)&gt;0,"J_H2B",IFERROR(FIND("H-II",B397),-1)&gt;0,"J_H2",IFERROR(FIND("H-I",B397),-1)&gt;0,"J_H1",IFERROR(FIND("N-II",B397),-1)&gt;0,"J_N2",IFERROR(FIND("N-I",B397),-1)&gt;0,"J_N1",IFERROR(FIND("イプシロン",B397),-1)&gt;0,"J_E",TRUE,"")</f>
        <v/>
      </c>
      <c r="G397" t="str">
        <f t="shared" si="16"/>
        <v/>
      </c>
    </row>
    <row r="398" spans="1:9" ht="27" x14ac:dyDescent="0.15">
      <c r="A398" s="1" t="s">
        <v>842</v>
      </c>
      <c r="B398" s="2" t="s">
        <v>333</v>
      </c>
      <c r="C398">
        <f t="shared" si="15"/>
        <v>100</v>
      </c>
      <c r="D398" t="s">
        <v>1293</v>
      </c>
      <c r="E398" t="str" cm="1">
        <f t="array" ref="E398">_xlfn.IFS(IFERROR(FIND("M-3SII",B398),-1)&gt;0,"J_M3S2",IFERROR(FIND("M-V",B398),-1)&gt;0,"J_M5",IFERROR(FIND("M-4S",B398),-1)&gt;0,"J_M4S",IFERROR(FIND("M-3C",B398),-1)&gt;0,"J_M3C",IFERROR(FIND("M-3S",B398),-1)&gt;0,"J_M3S",IFERROR(FIND("M-3H",B398),-1)&gt;0,"J_M3H",IFERROR(FIND("H-IIA",B398),-1)&gt;0,"J_H2A",IFERROR(FIND("H-IIB",B398),-1)&gt;0,"J_H2B",IFERROR(FIND("H-II",B398),-1)&gt;0,"J_H2",IFERROR(FIND("H-I",B398),-1)&gt;0,"J_H1",IFERROR(FIND("N-II",B398),-1)&gt;0,"J_N2",IFERROR(FIND("N-I",B398),-1)&gt;0,"J_N1",IFERROR(FIND("イプシロン",B398),-1)&gt;0,"J_E",TRUE,"")</f>
        <v/>
      </c>
      <c r="G398" t="str">
        <f t="shared" si="16"/>
        <v/>
      </c>
    </row>
    <row r="399" spans="1:9" ht="40.5" x14ac:dyDescent="0.15">
      <c r="A399" s="1" t="s">
        <v>1854</v>
      </c>
      <c r="B399" s="2" t="s">
        <v>1855</v>
      </c>
      <c r="C399">
        <f>LEN(B399)</f>
        <v>138</v>
      </c>
      <c r="D399" t="s">
        <v>1858</v>
      </c>
      <c r="E399" t="s">
        <v>1590</v>
      </c>
      <c r="F399">
        <v>47</v>
      </c>
      <c r="G399" t="str">
        <f t="shared" ref="G399" si="21">IF(E399&lt;&gt;"",E399&amp;"_"&amp;F399,"")</f>
        <v>J_H2A_47</v>
      </c>
      <c r="H399">
        <v>20240826</v>
      </c>
      <c r="I399" t="s">
        <v>1860</v>
      </c>
    </row>
    <row r="400" spans="1:9" ht="27" x14ac:dyDescent="0.15">
      <c r="A400" s="1" t="s">
        <v>1856</v>
      </c>
      <c r="B400" s="2" t="s">
        <v>1857</v>
      </c>
      <c r="C400">
        <f>LEN(B400)</f>
        <v>78</v>
      </c>
      <c r="D400" t="s">
        <v>1859</v>
      </c>
      <c r="E400" t="str" cm="1">
        <f t="array" ref="E400">_xlfn.IFS(IFERROR(FIND("M-3SII",B400),-1)&gt;0,"J_M3S2",IFERROR(FIND("M-V",B400),-1)&gt;0,"J_M5",IFERROR(FIND("M-4S",B400),-1)&gt;0,"J_M4S",IFERROR(FIND("M-3C",B400),-1)&gt;0,"J_M3C",IFERROR(FIND("M-3S",B400),-1)&gt;0,"J_M3S",IFERROR(FIND("M-3H",B400),-1)&gt;0,"J_M3H",IFERROR(FIND("H-IIA",B400),-1)&gt;0,"J_H2A",IFERROR(FIND("H-IIB",B400),-1)&gt;0,"J_H2B",IFERROR(FIND("H-II",B400),-1)&gt;0,"J_H2",IFERROR(FIND("H-I",B400),-1)&gt;0,"J_H1",IFERROR(FIND("N-II",B400),-1)&gt;0,"J_N2",IFERROR(FIND("N-I",B400),-1)&gt;0,"J_N1",IFERROR(FIND("イプシロン",B400),-1)&gt;0,"J_E",TRUE,"")</f>
        <v>J_H2A</v>
      </c>
      <c r="F400">
        <v>47</v>
      </c>
      <c r="G400" t="str">
        <f>IF(E400&lt;&gt;"",E400&amp;"_"&amp;F400,"")</f>
        <v>J_H2A_47</v>
      </c>
      <c r="H400">
        <v>20240826</v>
      </c>
      <c r="I400" t="s">
        <v>1860</v>
      </c>
    </row>
    <row r="401" spans="1:9" ht="27" x14ac:dyDescent="0.15">
      <c r="A401" s="1" t="s">
        <v>843</v>
      </c>
      <c r="B401" s="2" t="s">
        <v>334</v>
      </c>
      <c r="C401">
        <f t="shared" si="15"/>
        <v>92</v>
      </c>
      <c r="D401" t="s">
        <v>1294</v>
      </c>
      <c r="E401" t="str" cm="1">
        <f t="array" ref="E401">_xlfn.IFS(IFERROR(FIND("M-3SII",B401),-1)&gt;0,"J_M3S2",IFERROR(FIND("M-V",B401),-1)&gt;0,"J_M5",IFERROR(FIND("M-4S",B401),-1)&gt;0,"J_M4S",IFERROR(FIND("M-3C",B401),-1)&gt;0,"J_M3C",IFERROR(FIND("M-3S",B401),-1)&gt;0,"J_M3S",IFERROR(FIND("M-3H",B401),-1)&gt;0,"J_M3H",IFERROR(FIND("H-IIA",B401),-1)&gt;0,"J_H2A",IFERROR(FIND("H-IIB",B401),-1)&gt;0,"J_H2B",IFERROR(FIND("H-II",B401),-1)&gt;0,"J_H2",IFERROR(FIND("H-I",B401),-1)&gt;0,"J_H1",IFERROR(FIND("N-II",B401),-1)&gt;0,"J_N2",IFERROR(FIND("N-I",B401),-1)&gt;0,"J_N1",IFERROR(FIND("イプシロン",B401),-1)&gt;0,"J_E",TRUE,"")</f>
        <v/>
      </c>
      <c r="G401" t="str">
        <f t="shared" si="16"/>
        <v/>
      </c>
    </row>
    <row r="402" spans="1:9" ht="27" x14ac:dyDescent="0.15">
      <c r="A402" s="1" t="s">
        <v>845</v>
      </c>
      <c r="B402" s="2" t="s">
        <v>336</v>
      </c>
      <c r="C402">
        <f t="shared" si="15"/>
        <v>106</v>
      </c>
      <c r="D402" t="s">
        <v>1295</v>
      </c>
      <c r="E402" t="str" cm="1">
        <f t="array" ref="E402">_xlfn.IFS(IFERROR(FIND("M-3SII",B402),-1)&gt;0,"J_M3S2",IFERROR(FIND("M-V",B402),-1)&gt;0,"J_M5",IFERROR(FIND("M-4S",B402),-1)&gt;0,"J_M4S",IFERROR(FIND("M-3C",B402),-1)&gt;0,"J_M3C",IFERROR(FIND("M-3S",B402),-1)&gt;0,"J_M3S",IFERROR(FIND("M-3H",B402),-1)&gt;0,"J_M3H",IFERROR(FIND("H-IIA",B402),-1)&gt;0,"J_H2A",IFERROR(FIND("H-IIB",B402),-1)&gt;0,"J_H2B",IFERROR(FIND("H-II",B402),-1)&gt;0,"J_H2",IFERROR(FIND("H-I",B402),-1)&gt;0,"J_H1",IFERROR(FIND("N-II",B402),-1)&gt;0,"J_N2",IFERROR(FIND("N-I",B402),-1)&gt;0,"J_N1",IFERROR(FIND("イプシロン",B402),-1)&gt;0,"J_E",TRUE,"")</f>
        <v>J_N1</v>
      </c>
      <c r="F402">
        <v>1</v>
      </c>
      <c r="G402" t="str">
        <f t="shared" si="16"/>
        <v>J_N1_1</v>
      </c>
    </row>
    <row r="403" spans="1:9" x14ac:dyDescent="0.15">
      <c r="A403" s="1" t="s">
        <v>844</v>
      </c>
      <c r="B403" s="2" t="s">
        <v>335</v>
      </c>
      <c r="C403">
        <f t="shared" ref="C403:C468" si="22">LEN(B403)</f>
        <v>51</v>
      </c>
      <c r="D403" t="s">
        <v>1537</v>
      </c>
      <c r="E403" t="str" cm="1">
        <f t="array" ref="E403">_xlfn.IFS(IFERROR(FIND("M-3SII",B403),-1)&gt;0,"J_M3S2",IFERROR(FIND("M-V",B403),-1)&gt;0,"J_M5",IFERROR(FIND("M-4S",B403),-1)&gt;0,"J_M4S",IFERROR(FIND("M-3C",B403),-1)&gt;0,"J_M3C",IFERROR(FIND("M-3S",B403),-1)&gt;0,"J_M3S",IFERROR(FIND("M-3H",B403),-1)&gt;0,"J_M3H",IFERROR(FIND("H-IIA",B403),-1)&gt;0,"J_H2A",IFERROR(FIND("H-IIB",B403),-1)&gt;0,"J_H2B",IFERROR(FIND("H-II",B403),-1)&gt;0,"J_H2",IFERROR(FIND("H-I",B403),-1)&gt;0,"J_H1",IFERROR(FIND("N-II",B403),-1)&gt;0,"J_N2",IFERROR(FIND("N-I",B403),-1)&gt;0,"J_N1",IFERROR(FIND("イプシロン",B403),-1)&gt;0,"J_E",TRUE,"")</f>
        <v>J_N1</v>
      </c>
      <c r="F403">
        <v>1</v>
      </c>
      <c r="G403" t="str">
        <f t="shared" si="16"/>
        <v>J_N1_1</v>
      </c>
    </row>
    <row r="404" spans="1:9" ht="27" x14ac:dyDescent="0.15">
      <c r="A404" s="1" t="s">
        <v>848</v>
      </c>
      <c r="B404" s="2" t="s">
        <v>339</v>
      </c>
      <c r="C404">
        <f t="shared" si="22"/>
        <v>106</v>
      </c>
      <c r="D404" t="s">
        <v>1296</v>
      </c>
      <c r="E404" t="s">
        <v>1590</v>
      </c>
      <c r="F404">
        <v>3</v>
      </c>
      <c r="G404" t="str">
        <f t="shared" ref="G404:G469" si="23">IF(E404&lt;&gt;"",E404&amp;"_"&amp;F404,"")</f>
        <v>J_H2A_3</v>
      </c>
    </row>
    <row r="405" spans="1:9" ht="27" x14ac:dyDescent="0.15">
      <c r="A405" s="1" t="s">
        <v>846</v>
      </c>
      <c r="B405" s="2" t="s">
        <v>337</v>
      </c>
      <c r="C405">
        <f t="shared" si="22"/>
        <v>74</v>
      </c>
      <c r="D405" t="s">
        <v>1542</v>
      </c>
      <c r="E405" t="str" cm="1">
        <f t="array" ref="E405">_xlfn.IFS(IFERROR(FIND("M-3SII",B405),-1)&gt;0,"J_M3S2",IFERROR(FIND("M-V",B405),-1)&gt;0,"J_M5",IFERROR(FIND("M-4S",B405),-1)&gt;0,"J_M4S",IFERROR(FIND("M-3C",B405),-1)&gt;0,"J_M3C",IFERROR(FIND("M-3S",B405),-1)&gt;0,"J_M3S",IFERROR(FIND("M-3H",B405),-1)&gt;0,"J_M3H",IFERROR(FIND("H-IIA",B405),-1)&gt;0,"J_H2A",IFERROR(FIND("H-IIB",B405),-1)&gt;0,"J_H2B",IFERROR(FIND("H-II",B405),-1)&gt;0,"J_H2",IFERROR(FIND("H-I",B405),-1)&gt;0,"J_H1",IFERROR(FIND("N-II",B405),-1)&gt;0,"J_N2",IFERROR(FIND("N-I",B405),-1)&gt;0,"J_N1",IFERROR(FIND("イプシロン",B405),-1)&gt;0,"J_E",TRUE,"")</f>
        <v>J_H2A</v>
      </c>
      <c r="F405">
        <v>3</v>
      </c>
      <c r="G405" t="str">
        <f t="shared" si="23"/>
        <v>J_H2A_3</v>
      </c>
    </row>
    <row r="406" spans="1:9" ht="40.5" x14ac:dyDescent="0.15">
      <c r="A406" s="1" t="s">
        <v>1540</v>
      </c>
      <c r="B406" s="2" t="s">
        <v>1615</v>
      </c>
      <c r="C406">
        <f t="shared" si="22"/>
        <v>173</v>
      </c>
      <c r="D406" t="s">
        <v>1538</v>
      </c>
      <c r="E406" t="s">
        <v>1590</v>
      </c>
      <c r="F406">
        <v>3</v>
      </c>
      <c r="G406" t="str">
        <f t="shared" si="23"/>
        <v>J_H2A_3</v>
      </c>
      <c r="H406">
        <v>20170808</v>
      </c>
      <c r="I406" t="s">
        <v>1016</v>
      </c>
    </row>
    <row r="407" spans="1:9" ht="27" x14ac:dyDescent="0.15">
      <c r="A407" s="1" t="s">
        <v>1541</v>
      </c>
      <c r="B407" s="2" t="s">
        <v>340</v>
      </c>
      <c r="C407">
        <f t="shared" si="22"/>
        <v>110</v>
      </c>
      <c r="D407" t="s">
        <v>1539</v>
      </c>
      <c r="E407" t="str" cm="1">
        <f t="array" ref="E407">_xlfn.IFS(IFERROR(FIND("M-3SII",B407),-1)&gt;0,"J_M3S2",IFERROR(FIND("M-V",B407),-1)&gt;0,"J_M5",IFERROR(FIND("M-4S",B407),-1)&gt;0,"J_M4S",IFERROR(FIND("M-3C",B407),-1)&gt;0,"J_M3C",IFERROR(FIND("M-3S",B407),-1)&gt;0,"J_M3S",IFERROR(FIND("M-3H",B407),-1)&gt;0,"J_M3H",IFERROR(FIND("H-IIA",B407),-1)&gt;0,"J_H2A",IFERROR(FIND("H-IIB",B407),-1)&gt;0,"J_H2B",IFERROR(FIND("H-II",B407),-1)&gt;0,"J_H2",IFERROR(FIND("H-I",B407),-1)&gt;0,"J_H1",IFERROR(FIND("N-II",B407),-1)&gt;0,"J_N2",IFERROR(FIND("N-I",B407),-1)&gt;0,"J_N1",IFERROR(FIND("イプシロン",B407),-1)&gt;0,"J_E",TRUE,"")</f>
        <v>J_H2B</v>
      </c>
      <c r="F407">
        <v>1</v>
      </c>
      <c r="G407" t="str">
        <f t="shared" si="23"/>
        <v>J_H2B_1</v>
      </c>
    </row>
    <row r="408" spans="1:9" x14ac:dyDescent="0.15">
      <c r="A408" s="1" t="s">
        <v>847</v>
      </c>
      <c r="B408" s="2" t="s">
        <v>338</v>
      </c>
      <c r="C408">
        <f t="shared" si="22"/>
        <v>62</v>
      </c>
      <c r="D408" t="s">
        <v>1543</v>
      </c>
      <c r="E408" t="str" cm="1">
        <f t="array" ref="E408">_xlfn.IFS(IFERROR(FIND("M-3SII",B408),-1)&gt;0,"J_M3S2",IFERROR(FIND("M-V",B408),-1)&gt;0,"J_M5",IFERROR(FIND("M-4S",B408),-1)&gt;0,"J_M4S",IFERROR(FIND("M-3C",B408),-1)&gt;0,"J_M3C",IFERROR(FIND("M-3S",B408),-1)&gt;0,"J_M3S",IFERROR(FIND("M-3H",B408),-1)&gt;0,"J_M3H",IFERROR(FIND("H-IIA",B408),-1)&gt;0,"J_H2A",IFERROR(FIND("H-IIB",B408),-1)&gt;0,"J_H2B",IFERROR(FIND("H-II",B408),-1)&gt;0,"J_H2",IFERROR(FIND("H-I",B408),-1)&gt;0,"J_H1",IFERROR(FIND("N-II",B408),-1)&gt;0,"J_N2",IFERROR(FIND("N-I",B408),-1)&gt;0,"J_N1",IFERROR(FIND("イプシロン",B408),-1)&gt;0,"J_E",TRUE,"")</f>
        <v>J_H2B</v>
      </c>
      <c r="F408">
        <v>1</v>
      </c>
      <c r="G408" t="str">
        <f t="shared" si="23"/>
        <v>J_H2B_1</v>
      </c>
    </row>
    <row r="409" spans="1:9" ht="27" x14ac:dyDescent="0.15">
      <c r="A409" s="1" t="s">
        <v>851</v>
      </c>
      <c r="B409" s="2" t="s">
        <v>1012</v>
      </c>
      <c r="C409">
        <f t="shared" si="22"/>
        <v>126</v>
      </c>
      <c r="D409" t="s">
        <v>1297</v>
      </c>
      <c r="E409" t="str" cm="1">
        <f t="array" ref="E409">_xlfn.IFS(IFERROR(FIND("M-3SII",B409),-1)&gt;0,"J_M3S2",IFERROR(FIND("M-V",B409),-1)&gt;0,"J_M5",IFERROR(FIND("M-4S",B409),-1)&gt;0,"J_M4S",IFERROR(FIND("M-3C",B409),-1)&gt;0,"J_M3C",IFERROR(FIND("M-3S",B409),-1)&gt;0,"J_M3S",IFERROR(FIND("M-3H",B409),-1)&gt;0,"J_M3H",IFERROR(FIND("H-IIA",B409),-1)&gt;0,"J_H2A",IFERROR(FIND("H-IIB",B409),-1)&gt;0,"J_H2B",IFERROR(FIND("H-II",B409),-1)&gt;0,"J_H2",IFERROR(FIND("H-I",B409),-1)&gt;0,"J_H1",IFERROR(FIND("N-II",B409),-1)&gt;0,"J_N2",IFERROR(FIND("N-I",B409),-1)&gt;0,"J_N1",IFERROR(FIND("イプシロン",B409),-1)&gt;0,"J_E",TRUE,"")</f>
        <v>J_H2A</v>
      </c>
      <c r="F409">
        <v>10</v>
      </c>
      <c r="G409" t="str">
        <f t="shared" si="23"/>
        <v>J_H2A_10</v>
      </c>
      <c r="H409">
        <v>20170911</v>
      </c>
      <c r="I409" t="s">
        <v>1015</v>
      </c>
    </row>
    <row r="410" spans="1:9" x14ac:dyDescent="0.15">
      <c r="A410" s="1" t="s">
        <v>849</v>
      </c>
      <c r="B410" s="2" t="s">
        <v>1013</v>
      </c>
      <c r="C410">
        <f t="shared" si="22"/>
        <v>56</v>
      </c>
      <c r="D410" t="s">
        <v>1546</v>
      </c>
      <c r="E410" t="str" cm="1">
        <f t="array" ref="E410">_xlfn.IFS(IFERROR(FIND("M-3SII",B410),-1)&gt;0,"J_M3S2",IFERROR(FIND("M-V",B410),-1)&gt;0,"J_M5",IFERROR(FIND("M-4S",B410),-1)&gt;0,"J_M4S",IFERROR(FIND("M-3C",B410),-1)&gt;0,"J_M3C",IFERROR(FIND("M-3S",B410),-1)&gt;0,"J_M3S",IFERROR(FIND("M-3H",B410),-1)&gt;0,"J_M3H",IFERROR(FIND("H-IIA",B410),-1)&gt;0,"J_H2A",IFERROR(FIND("H-IIB",B410),-1)&gt;0,"J_H2B",IFERROR(FIND("H-II",B410),-1)&gt;0,"J_H2",IFERROR(FIND("H-I",B410),-1)&gt;0,"J_H1",IFERROR(FIND("N-II",B410),-1)&gt;0,"J_N2",IFERROR(FIND("N-I",B410),-1)&gt;0,"J_N1",IFERROR(FIND("イプシロン",B410),-1)&gt;0,"J_E",TRUE,"")</f>
        <v>J_H2A</v>
      </c>
      <c r="F410">
        <v>10</v>
      </c>
      <c r="G410" t="str">
        <f t="shared" si="23"/>
        <v>J_H2A_10</v>
      </c>
      <c r="H410">
        <v>20170911</v>
      </c>
      <c r="I410" t="s">
        <v>1004</v>
      </c>
    </row>
    <row r="411" spans="1:9" ht="27" x14ac:dyDescent="0.15">
      <c r="A411" s="1" t="s">
        <v>1547</v>
      </c>
      <c r="B411" s="2" t="s">
        <v>1011</v>
      </c>
      <c r="C411">
        <f t="shared" si="22"/>
        <v>113</v>
      </c>
      <c r="D411" t="s">
        <v>1544</v>
      </c>
      <c r="E411" t="s">
        <v>1590</v>
      </c>
      <c r="F411">
        <v>18</v>
      </c>
      <c r="G411" t="str">
        <f t="shared" si="23"/>
        <v>J_H2A_18</v>
      </c>
    </row>
    <row r="412" spans="1:9" x14ac:dyDescent="0.15">
      <c r="A412" s="1" t="s">
        <v>850</v>
      </c>
      <c r="B412" s="2" t="s">
        <v>1010</v>
      </c>
      <c r="C412">
        <f t="shared" si="22"/>
        <v>54</v>
      </c>
      <c r="D412" t="s">
        <v>1545</v>
      </c>
      <c r="E412" t="str" cm="1">
        <f t="array" ref="E412">_xlfn.IFS(IFERROR(FIND("M-3SII",B412),-1)&gt;0,"J_M3S2",IFERROR(FIND("M-V",B412),-1)&gt;0,"J_M5",IFERROR(FIND("M-4S",B412),-1)&gt;0,"J_M4S",IFERROR(FIND("M-3C",B412),-1)&gt;0,"J_M3C",IFERROR(FIND("M-3S",B412),-1)&gt;0,"J_M3S",IFERROR(FIND("M-3H",B412),-1)&gt;0,"J_M3H",IFERROR(FIND("H-IIA",B412),-1)&gt;0,"J_H2A",IFERROR(FIND("H-IIB",B412),-1)&gt;0,"J_H2B",IFERROR(FIND("H-II",B412),-1)&gt;0,"J_H2",IFERROR(FIND("H-I",B412),-1)&gt;0,"J_H1",IFERROR(FIND("N-II",B412),-1)&gt;0,"J_N2",IFERROR(FIND("N-I",B412),-1)&gt;0,"J_N1",IFERROR(FIND("イプシロン",B412),-1)&gt;0,"J_E",TRUE,"")</f>
        <v>J_H2A</v>
      </c>
      <c r="F412">
        <v>18</v>
      </c>
      <c r="G412" t="str">
        <f t="shared" si="23"/>
        <v>J_H2A_18</v>
      </c>
    </row>
    <row r="413" spans="1:9" ht="27" x14ac:dyDescent="0.15">
      <c r="A413" s="1" t="s">
        <v>852</v>
      </c>
      <c r="B413" s="2" t="s">
        <v>341</v>
      </c>
      <c r="C413">
        <f t="shared" si="22"/>
        <v>87</v>
      </c>
      <c r="D413" t="s">
        <v>1298</v>
      </c>
      <c r="E413" t="str" cm="1">
        <f t="array" ref="E413">_xlfn.IFS(IFERROR(FIND("M-3SII",B413),-1)&gt;0,"J_M3S2",IFERROR(FIND("M-V",B413),-1)&gt;0,"J_M5",IFERROR(FIND("M-4S",B413),-1)&gt;0,"J_M4S",IFERROR(FIND("M-3C",B413),-1)&gt;0,"J_M3C",IFERROR(FIND("M-3S",B413),-1)&gt;0,"J_M3S",IFERROR(FIND("M-3H",B413),-1)&gt;0,"J_M3H",IFERROR(FIND("H-IIA",B413),-1)&gt;0,"J_H2A",IFERROR(FIND("H-IIB",B413),-1)&gt;0,"J_H2B",IFERROR(FIND("H-II",B413),-1)&gt;0,"J_H2",IFERROR(FIND("H-I",B413),-1)&gt;0,"J_H1",IFERROR(FIND("N-II",B413),-1)&gt;0,"J_N2",IFERROR(FIND("N-I",B413),-1)&gt;0,"J_N1",IFERROR(FIND("イプシロン",B413),-1)&gt;0,"J_E",TRUE,"")</f>
        <v/>
      </c>
      <c r="G413" t="str">
        <f t="shared" si="23"/>
        <v/>
      </c>
    </row>
    <row r="414" spans="1:9" ht="27" x14ac:dyDescent="0.15">
      <c r="A414" s="1" t="s">
        <v>853</v>
      </c>
      <c r="B414" s="2" t="s">
        <v>342</v>
      </c>
      <c r="C414">
        <f t="shared" si="22"/>
        <v>89</v>
      </c>
      <c r="D414" t="s">
        <v>1299</v>
      </c>
      <c r="E414" t="str" cm="1">
        <f t="array" ref="E414">_xlfn.IFS(IFERROR(FIND("M-3SII",B414),-1)&gt;0,"J_M3S2",IFERROR(FIND("M-V",B414),-1)&gt;0,"J_M5",IFERROR(FIND("M-4S",B414),-1)&gt;0,"J_M4S",IFERROR(FIND("M-3C",B414),-1)&gt;0,"J_M3C",IFERROR(FIND("M-3S",B414),-1)&gt;0,"J_M3S",IFERROR(FIND("M-3H",B414),-1)&gt;0,"J_M3H",IFERROR(FIND("H-IIA",B414),-1)&gt;0,"J_H2A",IFERROR(FIND("H-IIB",B414),-1)&gt;0,"J_H2B",IFERROR(FIND("H-II",B414),-1)&gt;0,"J_H2",IFERROR(FIND("H-I",B414),-1)&gt;0,"J_H1",IFERROR(FIND("N-II",B414),-1)&gt;0,"J_N2",IFERROR(FIND("N-I",B414),-1)&gt;0,"J_N1",IFERROR(FIND("イプシロン",B414),-1)&gt;0,"J_E",TRUE,"")</f>
        <v/>
      </c>
      <c r="G414" t="str">
        <f t="shared" si="23"/>
        <v/>
      </c>
    </row>
    <row r="415" spans="1:9" ht="27" x14ac:dyDescent="0.15">
      <c r="A415" s="1" t="s">
        <v>856</v>
      </c>
      <c r="B415" s="2" t="s">
        <v>345</v>
      </c>
      <c r="C415">
        <f t="shared" si="22"/>
        <v>102</v>
      </c>
      <c r="D415" t="s">
        <v>1300</v>
      </c>
      <c r="E415" t="s">
        <v>1590</v>
      </c>
      <c r="F415">
        <v>13</v>
      </c>
      <c r="G415" t="str">
        <f t="shared" si="23"/>
        <v>J_H2A_13</v>
      </c>
    </row>
    <row r="416" spans="1:9" x14ac:dyDescent="0.15">
      <c r="A416" s="1" t="s">
        <v>854</v>
      </c>
      <c r="B416" s="2" t="s">
        <v>343</v>
      </c>
      <c r="C416">
        <f t="shared" si="22"/>
        <v>52</v>
      </c>
      <c r="D416" t="s">
        <v>1548</v>
      </c>
      <c r="E416" t="str" cm="1">
        <f t="array" ref="E416">_xlfn.IFS(IFERROR(FIND("M-3SII",B416),-1)&gt;0,"J_M3S2",IFERROR(FIND("M-V",B416),-1)&gt;0,"J_M5",IFERROR(FIND("M-4S",B416),-1)&gt;0,"J_M4S",IFERROR(FIND("M-3C",B416),-1)&gt;0,"J_M3C",IFERROR(FIND("M-3S",B416),-1)&gt;0,"J_M3S",IFERROR(FIND("M-3H",B416),-1)&gt;0,"J_M3H",IFERROR(FIND("H-IIA",B416),-1)&gt;0,"J_H2A",IFERROR(FIND("H-IIB",B416),-1)&gt;0,"J_H2B",IFERROR(FIND("H-II",B416),-1)&gt;0,"J_H2",IFERROR(FIND("H-I",B416),-1)&gt;0,"J_H1",IFERROR(FIND("N-II",B416),-1)&gt;0,"J_N2",IFERROR(FIND("N-I",B416),-1)&gt;0,"J_N1",IFERROR(FIND("イプシロン",B416),-1)&gt;0,"J_E",TRUE,"")</f>
        <v>J_H2A</v>
      </c>
      <c r="F416">
        <v>13</v>
      </c>
      <c r="G416" t="str">
        <f t="shared" si="23"/>
        <v>J_H2A_13</v>
      </c>
    </row>
    <row r="417" spans="1:7" ht="27" x14ac:dyDescent="0.15">
      <c r="A417" s="1" t="s">
        <v>857</v>
      </c>
      <c r="B417" s="2" t="s">
        <v>346</v>
      </c>
      <c r="C417">
        <f t="shared" si="22"/>
        <v>122</v>
      </c>
      <c r="D417" t="s">
        <v>1549</v>
      </c>
      <c r="E417" t="str" cm="1">
        <f t="array" ref="E417">_xlfn.IFS(IFERROR(FIND("M-3SII",B417),-1)&gt;0,"J_M3S2",IFERROR(FIND("M-V",B417),-1)&gt;0,"J_M5",IFERROR(FIND("M-4S",B417),-1)&gt;0,"J_M4S",IFERROR(FIND("M-3C",B417),-1)&gt;0,"J_M3C",IFERROR(FIND("M-3S",B417),-1)&gt;0,"J_M3S",IFERROR(FIND("M-3H",B417),-1)&gt;0,"J_M3H",IFERROR(FIND("H-IIA",B417),-1)&gt;0,"J_H2A",IFERROR(FIND("H-IIB",B417),-1)&gt;0,"J_H2B",IFERROR(FIND("H-II",B417),-1)&gt;0,"J_H2",IFERROR(FIND("H-I",B417),-1)&gt;0,"J_H1",IFERROR(FIND("N-II",B417),-1)&gt;0,"J_N2",IFERROR(FIND("N-I",B417),-1)&gt;0,"J_N1",IFERROR(FIND("イプシロン",B417),-1)&gt;0,"J_E",TRUE,"")</f>
        <v>J_E</v>
      </c>
      <c r="F417">
        <v>1</v>
      </c>
      <c r="G417" t="str">
        <f t="shared" si="23"/>
        <v>J_E_1</v>
      </c>
    </row>
    <row r="418" spans="1:7" x14ac:dyDescent="0.15">
      <c r="A418" s="1" t="s">
        <v>855</v>
      </c>
      <c r="B418" s="2" t="s">
        <v>344</v>
      </c>
      <c r="C418">
        <f t="shared" si="22"/>
        <v>65</v>
      </c>
      <c r="D418" t="s">
        <v>1550</v>
      </c>
      <c r="E418" t="str" cm="1">
        <f t="array" ref="E418">_xlfn.IFS(IFERROR(FIND("M-3SII",B418),-1)&gt;0,"J_M3S2",IFERROR(FIND("M-V",B418),-1)&gt;0,"J_M5",IFERROR(FIND("M-4S",B418),-1)&gt;0,"J_M4S",IFERROR(FIND("M-3C",B418),-1)&gt;0,"J_M3C",IFERROR(FIND("M-3S",B418),-1)&gt;0,"J_M3S",IFERROR(FIND("M-3H",B418),-1)&gt;0,"J_M3H",IFERROR(FIND("H-IIA",B418),-1)&gt;0,"J_H2A",IFERROR(FIND("H-IIB",B418),-1)&gt;0,"J_H2B",IFERROR(FIND("H-II",B418),-1)&gt;0,"J_H2",IFERROR(FIND("H-I",B418),-1)&gt;0,"J_H1",IFERROR(FIND("N-II",B418),-1)&gt;0,"J_N2",IFERROR(FIND("N-I",B418),-1)&gt;0,"J_N1",IFERROR(FIND("イプシロン",B418),-1)&gt;0,"J_E",TRUE,"")</f>
        <v>J_E</v>
      </c>
      <c r="F418">
        <v>1</v>
      </c>
      <c r="G418" t="str">
        <f t="shared" si="23"/>
        <v>J_E_1</v>
      </c>
    </row>
    <row r="419" spans="1:7" ht="27" x14ac:dyDescent="0.15">
      <c r="A419" s="1" t="s">
        <v>858</v>
      </c>
      <c r="B419" s="2" t="s">
        <v>347</v>
      </c>
      <c r="C419">
        <f t="shared" si="22"/>
        <v>92</v>
      </c>
      <c r="D419" t="s">
        <v>1301</v>
      </c>
      <c r="E419" t="str" cm="1">
        <f t="array" ref="E419">_xlfn.IFS(IFERROR(FIND("M-3SII",B419),-1)&gt;0,"J_M3S2",IFERROR(FIND("M-V",B419),-1)&gt;0,"J_M5",IFERROR(FIND("M-4S",B419),-1)&gt;0,"J_M4S",IFERROR(FIND("M-3C",B419),-1)&gt;0,"J_M3C",IFERROR(FIND("M-3S",B419),-1)&gt;0,"J_M3S",IFERROR(FIND("M-3H",B419),-1)&gt;0,"J_M3H",IFERROR(FIND("H-IIA",B419),-1)&gt;0,"J_H2A",IFERROR(FIND("H-IIB",B419),-1)&gt;0,"J_H2B",IFERROR(FIND("H-II",B419),-1)&gt;0,"J_H2",IFERROR(FIND("H-I",B419),-1)&gt;0,"J_H1",IFERROR(FIND("N-II",B419),-1)&gt;0,"J_N2",IFERROR(FIND("N-I",B419),-1)&gt;0,"J_N1",IFERROR(FIND("イプシロン",B419),-1)&gt;0,"J_E",TRUE,"")</f>
        <v/>
      </c>
      <c r="G419" t="str">
        <f t="shared" si="23"/>
        <v/>
      </c>
    </row>
    <row r="420" spans="1:7" ht="27" x14ac:dyDescent="0.15">
      <c r="A420" s="1" t="s">
        <v>861</v>
      </c>
      <c r="B420" s="2" t="s">
        <v>350</v>
      </c>
      <c r="C420">
        <f t="shared" si="22"/>
        <v>107</v>
      </c>
      <c r="D420" t="s">
        <v>1302</v>
      </c>
      <c r="E420" t="str" cm="1">
        <f t="array" ref="E420">_xlfn.IFS(IFERROR(FIND("M-3SII",B420),-1)&gt;0,"J_M3S2",IFERROR(FIND("M-V",B420),-1)&gt;0,"J_M5",IFERROR(FIND("M-4S",B420),-1)&gt;0,"J_M4S",IFERROR(FIND("M-3C",B420),-1)&gt;0,"J_M3C",IFERROR(FIND("M-3S",B420),-1)&gt;0,"J_M3S",IFERROR(FIND("M-3H",B420),-1)&gt;0,"J_M3H",IFERROR(FIND("H-IIA",B420),-1)&gt;0,"J_H2A",IFERROR(FIND("H-IIB",B420),-1)&gt;0,"J_H2B",IFERROR(FIND("H-II",B420),-1)&gt;0,"J_H2",IFERROR(FIND("H-I",B420),-1)&gt;0,"J_H1",IFERROR(FIND("N-II",B420),-1)&gt;0,"J_N2",IFERROR(FIND("N-I",B420),-1)&gt;0,"J_N1",IFERROR(FIND("イプシロン",B420),-1)&gt;0,"J_E",TRUE,"")</f>
        <v>J_M3H</v>
      </c>
      <c r="F420">
        <v>3</v>
      </c>
      <c r="G420" t="str">
        <f t="shared" si="23"/>
        <v>J_M3H_3</v>
      </c>
    </row>
    <row r="421" spans="1:7" x14ac:dyDescent="0.15">
      <c r="A421" s="1" t="s">
        <v>859</v>
      </c>
      <c r="B421" s="2" t="s">
        <v>348</v>
      </c>
      <c r="C421">
        <f t="shared" si="22"/>
        <v>59</v>
      </c>
      <c r="D421" t="s">
        <v>1553</v>
      </c>
      <c r="E421" t="str" cm="1">
        <f t="array" ref="E421">_xlfn.IFS(IFERROR(FIND("M-3SII",B421),-1)&gt;0,"J_M3S2",IFERROR(FIND("M-V",B421),-1)&gt;0,"J_M5",IFERROR(FIND("M-4S",B421),-1)&gt;0,"J_M4S",IFERROR(FIND("M-3C",B421),-1)&gt;0,"J_M3C",IFERROR(FIND("M-3S",B421),-1)&gt;0,"J_M3S",IFERROR(FIND("M-3H",B421),-1)&gt;0,"J_M3H",IFERROR(FIND("H-IIA",B421),-1)&gt;0,"J_H2A",IFERROR(FIND("H-IIB",B421),-1)&gt;0,"J_H2B",IFERROR(FIND("H-II",B421),-1)&gt;0,"J_H2",IFERROR(FIND("H-I",B421),-1)&gt;0,"J_H1",IFERROR(FIND("N-II",B421),-1)&gt;0,"J_N2",IFERROR(FIND("N-I",B421),-1)&gt;0,"J_N1",IFERROR(FIND("イプシロン",B421),-1)&gt;0,"J_E",TRUE,"")</f>
        <v>J_M3H</v>
      </c>
      <c r="F421">
        <v>3</v>
      </c>
      <c r="G421" t="str">
        <f t="shared" si="23"/>
        <v>J_M3H_3</v>
      </c>
    </row>
    <row r="422" spans="1:7" ht="27" x14ac:dyDescent="0.15">
      <c r="A422" s="1" t="s">
        <v>1551</v>
      </c>
      <c r="B422" s="2" t="s">
        <v>351</v>
      </c>
      <c r="C422">
        <f t="shared" si="22"/>
        <v>108</v>
      </c>
      <c r="D422" t="s">
        <v>1552</v>
      </c>
      <c r="E422" t="str" cm="1">
        <f t="array" ref="E422">_xlfn.IFS(IFERROR(FIND("M-3SII",B422),-1)&gt;0,"J_M3S2",IFERROR(FIND("M-V",B422),-1)&gt;0,"J_M5",IFERROR(FIND("M-4S",B422),-1)&gt;0,"J_M4S",IFERROR(FIND("M-3C",B422),-1)&gt;0,"J_M3C",IFERROR(FIND("M-3S",B422),-1)&gt;0,"J_M3S",IFERROR(FIND("M-3H",B422),-1)&gt;0,"J_M3H",IFERROR(FIND("H-IIA",B422),-1)&gt;0,"J_H2A",IFERROR(FIND("H-IIB",B422),-1)&gt;0,"J_H2B",IFERROR(FIND("H-II",B422),-1)&gt;0,"J_H2",IFERROR(FIND("H-I",B422),-1)&gt;0,"J_H1",IFERROR(FIND("N-II",B422),-1)&gt;0,"J_N2",IFERROR(FIND("N-I",B422),-1)&gt;0,"J_N1",IFERROR(FIND("イプシロン",B422),-1)&gt;0,"J_E",TRUE,"")</f>
        <v>J_H1</v>
      </c>
      <c r="F422">
        <v>4</v>
      </c>
      <c r="G422" t="str">
        <f t="shared" si="23"/>
        <v>J_H1_4</v>
      </c>
    </row>
    <row r="423" spans="1:7" x14ac:dyDescent="0.15">
      <c r="A423" s="1" t="s">
        <v>860</v>
      </c>
      <c r="B423" s="2" t="s">
        <v>349</v>
      </c>
      <c r="C423">
        <f t="shared" si="22"/>
        <v>52</v>
      </c>
      <c r="D423" t="s">
        <v>1554</v>
      </c>
      <c r="E423" t="str" cm="1">
        <f t="array" ref="E423">_xlfn.IFS(IFERROR(FIND("M-3SII",B423),-1)&gt;0,"J_M3S2",IFERROR(FIND("M-V",B423),-1)&gt;0,"J_M5",IFERROR(FIND("M-4S",B423),-1)&gt;0,"J_M4S",IFERROR(FIND("M-3C",B423),-1)&gt;0,"J_M3C",IFERROR(FIND("M-3S",B423),-1)&gt;0,"J_M3S",IFERROR(FIND("M-3H",B423),-1)&gt;0,"J_M3H",IFERROR(FIND("H-IIA",B423),-1)&gt;0,"J_H2A",IFERROR(FIND("H-IIB",B423),-1)&gt;0,"J_H2B",IFERROR(FIND("H-II",B423),-1)&gt;0,"J_H2",IFERROR(FIND("H-I",B423),-1)&gt;0,"J_H1",IFERROR(FIND("N-II",B423),-1)&gt;0,"J_N2",IFERROR(FIND("N-I",B423),-1)&gt;0,"J_N1",IFERROR(FIND("イプシロン",B423),-1)&gt;0,"J_E",TRUE,"")</f>
        <v>J_H1</v>
      </c>
      <c r="F423">
        <v>4</v>
      </c>
      <c r="G423" t="str">
        <f t="shared" si="23"/>
        <v>J_H1_4</v>
      </c>
    </row>
    <row r="424" spans="1:7" ht="27" x14ac:dyDescent="0.15">
      <c r="A424" s="1" t="s">
        <v>862</v>
      </c>
      <c r="B424" s="2" t="s">
        <v>352</v>
      </c>
      <c r="C424">
        <f t="shared" si="22"/>
        <v>101</v>
      </c>
      <c r="D424" t="s">
        <v>1303</v>
      </c>
      <c r="E424" t="str" cm="1">
        <f t="array" ref="E424">_xlfn.IFS(IFERROR(FIND("M-3SII",B424),-1)&gt;0,"J_M3S2",IFERROR(FIND("M-V",B424),-1)&gt;0,"J_M5",IFERROR(FIND("M-4S",B424),-1)&gt;0,"J_M4S",IFERROR(FIND("M-3C",B424),-1)&gt;0,"J_M3C",IFERROR(FIND("M-3S",B424),-1)&gt;0,"J_M3S",IFERROR(FIND("M-3H",B424),-1)&gt;0,"J_M3H",IFERROR(FIND("H-IIA",B424),-1)&gt;0,"J_H2A",IFERROR(FIND("H-IIB",B424),-1)&gt;0,"J_H2B",IFERROR(FIND("H-II",B424),-1)&gt;0,"J_H2",IFERROR(FIND("H-I",B424),-1)&gt;0,"J_H1",IFERROR(FIND("N-II",B424),-1)&gt;0,"J_N2",IFERROR(FIND("N-I",B424),-1)&gt;0,"J_N1",IFERROR(FIND("イプシロン",B424),-1)&gt;0,"J_E",TRUE,"")</f>
        <v/>
      </c>
      <c r="G424" t="str">
        <f t="shared" si="23"/>
        <v/>
      </c>
    </row>
    <row r="425" spans="1:7" ht="27" x14ac:dyDescent="0.15">
      <c r="A425" s="1" t="s">
        <v>863</v>
      </c>
      <c r="B425" s="2" t="s">
        <v>353</v>
      </c>
      <c r="C425">
        <f t="shared" si="22"/>
        <v>71</v>
      </c>
      <c r="D425" t="s">
        <v>1304</v>
      </c>
      <c r="E425" t="str" cm="1">
        <f t="array" ref="E425">_xlfn.IFS(IFERROR(FIND("M-3SII",B425),-1)&gt;0,"J_M3S2",IFERROR(FIND("M-V",B425),-1)&gt;0,"J_M5",IFERROR(FIND("M-4S",B425),-1)&gt;0,"J_M4S",IFERROR(FIND("M-3C",B425),-1)&gt;0,"J_M3C",IFERROR(FIND("M-3S",B425),-1)&gt;0,"J_M3S",IFERROR(FIND("M-3H",B425),-1)&gt;0,"J_M3H",IFERROR(FIND("H-IIA",B425),-1)&gt;0,"J_H2A",IFERROR(FIND("H-IIB",B425),-1)&gt;0,"J_H2B",IFERROR(FIND("H-II",B425),-1)&gt;0,"J_H2",IFERROR(FIND("H-I",B425),-1)&gt;0,"J_H1",IFERROR(FIND("N-II",B425),-1)&gt;0,"J_N2",IFERROR(FIND("N-I",B425),-1)&gt;0,"J_N1",IFERROR(FIND("イプシロン",B425),-1)&gt;0,"J_E",TRUE,"")</f>
        <v/>
      </c>
      <c r="G425" t="str">
        <f t="shared" si="23"/>
        <v/>
      </c>
    </row>
    <row r="426" spans="1:7" ht="27" x14ac:dyDescent="0.15">
      <c r="A426" s="1" t="s">
        <v>864</v>
      </c>
      <c r="B426" s="2" t="s">
        <v>354</v>
      </c>
      <c r="C426">
        <f t="shared" si="22"/>
        <v>101</v>
      </c>
      <c r="D426" t="s">
        <v>1305</v>
      </c>
      <c r="E426" t="str" cm="1">
        <f t="array" ref="E426">_xlfn.IFS(IFERROR(FIND("M-3SII",B426),-1)&gt;0,"J_M3S2",IFERROR(FIND("M-V",B426),-1)&gt;0,"J_M5",IFERROR(FIND("M-4S",B426),-1)&gt;0,"J_M4S",IFERROR(FIND("M-3C",B426),-1)&gt;0,"J_M3C",IFERROR(FIND("M-3S",B426),-1)&gt;0,"J_M3S",IFERROR(FIND("M-3H",B426),-1)&gt;0,"J_M3H",IFERROR(FIND("H-IIA",B426),-1)&gt;0,"J_H2A",IFERROR(FIND("H-IIB",B426),-1)&gt;0,"J_H2B",IFERROR(FIND("H-II",B426),-1)&gt;0,"J_H2",IFERROR(FIND("H-I",B426),-1)&gt;0,"J_H1",IFERROR(FIND("N-II",B426),-1)&gt;0,"J_N2",IFERROR(FIND("N-I",B426),-1)&gt;0,"J_N1",IFERROR(FIND("イプシロン",B426),-1)&gt;0,"J_E",TRUE,"")</f>
        <v/>
      </c>
      <c r="G426" t="str">
        <f t="shared" si="23"/>
        <v/>
      </c>
    </row>
    <row r="427" spans="1:7" ht="27" x14ac:dyDescent="0.15">
      <c r="A427" s="1" t="s">
        <v>865</v>
      </c>
      <c r="B427" s="2" t="s">
        <v>355</v>
      </c>
      <c r="C427">
        <f t="shared" si="22"/>
        <v>71</v>
      </c>
      <c r="D427" t="s">
        <v>1306</v>
      </c>
      <c r="E427" t="str" cm="1">
        <f t="array" ref="E427">_xlfn.IFS(IFERROR(FIND("M-3SII",B427),-1)&gt;0,"J_M3S2",IFERROR(FIND("M-V",B427),-1)&gt;0,"J_M5",IFERROR(FIND("M-4S",B427),-1)&gt;0,"J_M4S",IFERROR(FIND("M-3C",B427),-1)&gt;0,"J_M3C",IFERROR(FIND("M-3S",B427),-1)&gt;0,"J_M3S",IFERROR(FIND("M-3H",B427),-1)&gt;0,"J_M3H",IFERROR(FIND("H-IIA",B427),-1)&gt;0,"J_H2A",IFERROR(FIND("H-IIB",B427),-1)&gt;0,"J_H2B",IFERROR(FIND("H-II",B427),-1)&gt;0,"J_H2",IFERROR(FIND("H-I",B427),-1)&gt;0,"J_H1",IFERROR(FIND("N-II",B427),-1)&gt;0,"J_N2",IFERROR(FIND("N-I",B427),-1)&gt;0,"J_N1",IFERROR(FIND("イプシロン",B427),-1)&gt;0,"J_E",TRUE,"")</f>
        <v/>
      </c>
      <c r="G427" t="str">
        <f t="shared" si="23"/>
        <v/>
      </c>
    </row>
    <row r="428" spans="1:7" ht="27" x14ac:dyDescent="0.15">
      <c r="A428" s="1" t="s">
        <v>866</v>
      </c>
      <c r="B428" s="2" t="s">
        <v>356</v>
      </c>
      <c r="C428">
        <f t="shared" si="22"/>
        <v>106</v>
      </c>
      <c r="D428" t="s">
        <v>1307</v>
      </c>
      <c r="E428" t="str" cm="1">
        <f t="array" ref="E428">_xlfn.IFS(IFERROR(FIND("M-3SII",B428),-1)&gt;0,"J_M3S2",IFERROR(FIND("M-V",B428),-1)&gt;0,"J_M5",IFERROR(FIND("M-4S",B428),-1)&gt;0,"J_M4S",IFERROR(FIND("M-3C",B428),-1)&gt;0,"J_M3C",IFERROR(FIND("M-3S",B428),-1)&gt;0,"J_M3S",IFERROR(FIND("M-3H",B428),-1)&gt;0,"J_M3H",IFERROR(FIND("H-IIA",B428),-1)&gt;0,"J_H2A",IFERROR(FIND("H-IIB",B428),-1)&gt;0,"J_H2B",IFERROR(FIND("H-II",B428),-1)&gt;0,"J_H2",IFERROR(FIND("H-I",B428),-1)&gt;0,"J_H1",IFERROR(FIND("N-II",B428),-1)&gt;0,"J_N2",IFERROR(FIND("N-I",B428),-1)&gt;0,"J_N1",IFERROR(FIND("イプシロン",B428),-1)&gt;0,"J_E",TRUE,"")</f>
        <v/>
      </c>
      <c r="G428" t="str">
        <f t="shared" si="23"/>
        <v/>
      </c>
    </row>
    <row r="429" spans="1:7" ht="27" x14ac:dyDescent="0.15">
      <c r="A429" s="1" t="s">
        <v>868</v>
      </c>
      <c r="B429" s="2" t="s">
        <v>358</v>
      </c>
      <c r="C429">
        <f t="shared" si="22"/>
        <v>101</v>
      </c>
      <c r="D429" t="s">
        <v>1309</v>
      </c>
      <c r="E429" t="str" cm="1">
        <f t="array" ref="E429">_xlfn.IFS(IFERROR(FIND("M-3SII",B429),-1)&gt;0,"J_M3S2",IFERROR(FIND("M-V",B429),-1)&gt;0,"J_M5",IFERROR(FIND("M-4S",B429),-1)&gt;0,"J_M4S",IFERROR(FIND("M-3C",B429),-1)&gt;0,"J_M3C",IFERROR(FIND("M-3S",B429),-1)&gt;0,"J_M3S",IFERROR(FIND("M-3H",B429),-1)&gt;0,"J_M3H",IFERROR(FIND("H-IIA",B429),-1)&gt;0,"J_H2A",IFERROR(FIND("H-IIB",B429),-1)&gt;0,"J_H2B",IFERROR(FIND("H-II",B429),-1)&gt;0,"J_H2",IFERROR(FIND("H-I",B429),-1)&gt;0,"J_H1",IFERROR(FIND("N-II",B429),-1)&gt;0,"J_N2",IFERROR(FIND("N-I",B429),-1)&gt;0,"J_N1",IFERROR(FIND("イプシロン",B429),-1)&gt;0,"J_E",TRUE,"")</f>
        <v>J_M5</v>
      </c>
      <c r="F429">
        <v>7</v>
      </c>
      <c r="G429" t="str">
        <f t="shared" si="23"/>
        <v>J_M5_7</v>
      </c>
    </row>
    <row r="430" spans="1:7" x14ac:dyDescent="0.15">
      <c r="A430" s="1" t="s">
        <v>867</v>
      </c>
      <c r="B430" s="2" t="s">
        <v>357</v>
      </c>
      <c r="C430">
        <f t="shared" si="22"/>
        <v>50</v>
      </c>
      <c r="D430" t="s">
        <v>1555</v>
      </c>
      <c r="E430" t="str" cm="1">
        <f t="array" ref="E430">_xlfn.IFS(IFERROR(FIND("M-3SII",B430),-1)&gt;0,"J_M3S2",IFERROR(FIND("M-V",B430),-1)&gt;0,"J_M5",IFERROR(FIND("M-4S",B430),-1)&gt;0,"J_M4S",IFERROR(FIND("M-3C",B430),-1)&gt;0,"J_M3C",IFERROR(FIND("M-3S",B430),-1)&gt;0,"J_M3S",IFERROR(FIND("M-3H",B430),-1)&gt;0,"J_M3H",IFERROR(FIND("H-IIA",B430),-1)&gt;0,"J_H2A",IFERROR(FIND("H-IIB",B430),-1)&gt;0,"J_H2B",IFERROR(FIND("H-II",B430),-1)&gt;0,"J_H2",IFERROR(FIND("H-I",B430),-1)&gt;0,"J_H1",IFERROR(FIND("N-II",B430),-1)&gt;0,"J_N2",IFERROR(FIND("N-I",B430),-1)&gt;0,"J_N1",IFERROR(FIND("イプシロン",B430),-1)&gt;0,"J_E",TRUE,"")</f>
        <v>J_M5</v>
      </c>
      <c r="F430">
        <v>7</v>
      </c>
      <c r="G430" t="str">
        <f t="shared" si="23"/>
        <v>J_M5_7</v>
      </c>
    </row>
    <row r="431" spans="1:7" ht="27" x14ac:dyDescent="0.15">
      <c r="A431" s="1" t="s">
        <v>870</v>
      </c>
      <c r="B431" s="2" t="s">
        <v>360</v>
      </c>
      <c r="C431">
        <f t="shared" si="22"/>
        <v>113</v>
      </c>
      <c r="D431" t="s">
        <v>1556</v>
      </c>
      <c r="E431" t="str" cm="1">
        <f t="array" ref="E431">_xlfn.IFS(IFERROR(FIND("M-3SII",B431),-1)&gt;0,"J_M3S2",IFERROR(FIND("M-V",B431),-1)&gt;0,"J_M5",IFERROR(FIND("M-4S",B431),-1)&gt;0,"J_M4S",IFERROR(FIND("M-3C",B431),-1)&gt;0,"J_M3C",IFERROR(FIND("M-3S",B431),-1)&gt;0,"J_M3S",IFERROR(FIND("M-3H",B431),-1)&gt;0,"J_M3H",IFERROR(FIND("H-IIA",B431),-1)&gt;0,"J_H2A",IFERROR(FIND("H-IIB",B431),-1)&gt;0,"J_H2B",IFERROR(FIND("H-II",B431),-1)&gt;0,"J_H2",IFERROR(FIND("H-I",B431),-1)&gt;0,"J_H1",IFERROR(FIND("N-II",B431),-1)&gt;0,"J_N2",IFERROR(FIND("N-I",B431),-1)&gt;0,"J_N1",IFERROR(FIND("イプシロン",B431),-1)&gt;0,"J_E",TRUE,"")</f>
        <v>J_M5</v>
      </c>
      <c r="F431">
        <v>7</v>
      </c>
      <c r="G431" t="str">
        <f t="shared" si="23"/>
        <v>J_M5_7</v>
      </c>
    </row>
    <row r="432" spans="1:7" ht="40.5" x14ac:dyDescent="0.15">
      <c r="A432" s="1" t="s">
        <v>871</v>
      </c>
      <c r="B432" s="2" t="s">
        <v>361</v>
      </c>
      <c r="C432">
        <f t="shared" si="22"/>
        <v>131</v>
      </c>
      <c r="D432" t="s">
        <v>1557</v>
      </c>
      <c r="E432" t="str" cm="1">
        <f t="array" ref="E432">_xlfn.IFS(IFERROR(FIND("M-3SII",B432),-1)&gt;0,"J_M3S2",IFERROR(FIND("M-V",B432),-1)&gt;0,"J_M5",IFERROR(FIND("M-4S",B432),-1)&gt;0,"J_M4S",IFERROR(FIND("M-3C",B432),-1)&gt;0,"J_M3C",IFERROR(FIND("M-3S",B432),-1)&gt;0,"J_M3S",IFERROR(FIND("M-3H",B432),-1)&gt;0,"J_M3H",IFERROR(FIND("H-IIA",B432),-1)&gt;0,"J_H2A",IFERROR(FIND("H-IIB",B432),-1)&gt;0,"J_H2B",IFERROR(FIND("H-II",B432),-1)&gt;0,"J_H2",IFERROR(FIND("H-I",B432),-1)&gt;0,"J_H1",IFERROR(FIND("N-II",B432),-1)&gt;0,"J_N2",IFERROR(FIND("N-I",B432),-1)&gt;0,"J_N1",IFERROR(FIND("イプシロン",B432),-1)&gt;0,"J_E",TRUE,"")</f>
        <v>J_M5</v>
      </c>
      <c r="F432">
        <v>7</v>
      </c>
      <c r="G432" t="str">
        <f t="shared" si="23"/>
        <v>J_M5_7</v>
      </c>
    </row>
    <row r="433" spans="1:9" ht="27" x14ac:dyDescent="0.15">
      <c r="A433" s="1" t="s">
        <v>869</v>
      </c>
      <c r="B433" s="2" t="s">
        <v>359</v>
      </c>
      <c r="C433">
        <f t="shared" si="22"/>
        <v>100</v>
      </c>
      <c r="D433" t="s">
        <v>1308</v>
      </c>
      <c r="E433" t="str" cm="1">
        <f t="array" ref="E433">_xlfn.IFS(IFERROR(FIND("M-3SII",B433),-1)&gt;0,"J_M3S2",IFERROR(FIND("M-V",B433),-1)&gt;0,"J_M5",IFERROR(FIND("M-4S",B433),-1)&gt;0,"J_M4S",IFERROR(FIND("M-3C",B433),-1)&gt;0,"J_M3C",IFERROR(FIND("M-3S",B433),-1)&gt;0,"J_M3S",IFERROR(FIND("M-3H",B433),-1)&gt;0,"J_M3H",IFERROR(FIND("H-IIA",B433),-1)&gt;0,"J_H2A",IFERROR(FIND("H-IIB",B433),-1)&gt;0,"J_H2B",IFERROR(FIND("H-II",B433),-1)&gt;0,"J_H2",IFERROR(FIND("H-I",B433),-1)&gt;0,"J_H1",IFERROR(FIND("N-II",B433),-1)&gt;0,"J_N2",IFERROR(FIND("N-I",B433),-1)&gt;0,"J_N1",IFERROR(FIND("イプシロン",B433),-1)&gt;0,"J_E",TRUE,"")</f>
        <v/>
      </c>
      <c r="G433" t="str">
        <f t="shared" si="23"/>
        <v/>
      </c>
    </row>
    <row r="434" spans="1:9" ht="27" x14ac:dyDescent="0.15">
      <c r="A434" s="1" t="s">
        <v>872</v>
      </c>
      <c r="B434" s="2" t="s">
        <v>362</v>
      </c>
      <c r="C434">
        <f t="shared" si="22"/>
        <v>104</v>
      </c>
      <c r="D434" t="s">
        <v>1310</v>
      </c>
      <c r="E434" t="str" cm="1">
        <f t="array" ref="E434">_xlfn.IFS(IFERROR(FIND("M-3SII",B434),-1)&gt;0,"J_M3S2",IFERROR(FIND("M-V",B434),-1)&gt;0,"J_M5",IFERROR(FIND("M-4S",B434),-1)&gt;0,"J_M4S",IFERROR(FIND("M-3C",B434),-1)&gt;0,"J_M3C",IFERROR(FIND("M-3S",B434),-1)&gt;0,"J_M3S",IFERROR(FIND("M-3H",B434),-1)&gt;0,"J_M3H",IFERROR(FIND("H-IIA",B434),-1)&gt;0,"J_H2A",IFERROR(FIND("H-IIB",B434),-1)&gt;0,"J_H2B",IFERROR(FIND("H-II",B434),-1)&gt;0,"J_H2",IFERROR(FIND("H-I",B434),-1)&gt;0,"J_H1",IFERROR(FIND("N-II",B434),-1)&gt;0,"J_N2",IFERROR(FIND("N-I",B434),-1)&gt;0,"J_N1",IFERROR(FIND("イプシロン",B434),-1)&gt;0,"J_E",TRUE,"")</f>
        <v/>
      </c>
      <c r="G434" t="str">
        <f t="shared" si="23"/>
        <v/>
      </c>
    </row>
    <row r="435" spans="1:9" ht="27" x14ac:dyDescent="0.15">
      <c r="A435" s="1" t="s">
        <v>873</v>
      </c>
      <c r="B435" s="2" t="s">
        <v>363</v>
      </c>
      <c r="C435">
        <f t="shared" si="22"/>
        <v>85</v>
      </c>
      <c r="D435" t="s">
        <v>1311</v>
      </c>
      <c r="E435" t="str" cm="1">
        <f t="array" ref="E435">_xlfn.IFS(IFERROR(FIND("M-3SII",B435),-1)&gt;0,"J_M3S2",IFERROR(FIND("M-V",B435),-1)&gt;0,"J_M5",IFERROR(FIND("M-4S",B435),-1)&gt;0,"J_M4S",IFERROR(FIND("M-3C",B435),-1)&gt;0,"J_M3C",IFERROR(FIND("M-3S",B435),-1)&gt;0,"J_M3S",IFERROR(FIND("M-3H",B435),-1)&gt;0,"J_M3H",IFERROR(FIND("H-IIA",B435),-1)&gt;0,"J_H2A",IFERROR(FIND("H-IIB",B435),-1)&gt;0,"J_H2B",IFERROR(FIND("H-II",B435),-1)&gt;0,"J_H2",IFERROR(FIND("H-I",B435),-1)&gt;0,"J_H1",IFERROR(FIND("N-II",B435),-1)&gt;0,"J_N2",IFERROR(FIND("N-I",B435),-1)&gt;0,"J_N1",IFERROR(FIND("イプシロン",B435),-1)&gt;0,"J_E",TRUE,"")</f>
        <v/>
      </c>
      <c r="G435" t="str">
        <f t="shared" si="23"/>
        <v/>
      </c>
    </row>
    <row r="436" spans="1:9" ht="27" x14ac:dyDescent="0.15">
      <c r="A436" s="1" t="s">
        <v>874</v>
      </c>
      <c r="B436" s="2" t="s">
        <v>364</v>
      </c>
      <c r="C436">
        <f t="shared" si="22"/>
        <v>104</v>
      </c>
      <c r="D436" t="s">
        <v>1312</v>
      </c>
      <c r="E436" t="str" cm="1">
        <f t="array" ref="E436">_xlfn.IFS(IFERROR(FIND("M-3SII",B436),-1)&gt;0,"J_M3S2",IFERROR(FIND("M-V",B436),-1)&gt;0,"J_M5",IFERROR(FIND("M-4S",B436),-1)&gt;0,"J_M4S",IFERROR(FIND("M-3C",B436),-1)&gt;0,"J_M3C",IFERROR(FIND("M-3S",B436),-1)&gt;0,"J_M3S",IFERROR(FIND("M-3H",B436),-1)&gt;0,"J_M3H",IFERROR(FIND("H-IIA",B436),-1)&gt;0,"J_H2A",IFERROR(FIND("H-IIB",B436),-1)&gt;0,"J_H2B",IFERROR(FIND("H-II",B436),-1)&gt;0,"J_H2",IFERROR(FIND("H-I",B436),-1)&gt;0,"J_H1",IFERROR(FIND("N-II",B436),-1)&gt;0,"J_N2",IFERROR(FIND("N-I",B436),-1)&gt;0,"J_N1",IFERROR(FIND("イプシロン",B436),-1)&gt;0,"J_E",TRUE,"")</f>
        <v/>
      </c>
      <c r="G436" t="str">
        <f t="shared" si="23"/>
        <v/>
      </c>
    </row>
    <row r="437" spans="1:9" ht="27" x14ac:dyDescent="0.15">
      <c r="A437" s="1" t="s">
        <v>1882</v>
      </c>
      <c r="B437" s="2" t="s">
        <v>1884</v>
      </c>
      <c r="C437">
        <f t="shared" ref="C437:C438" si="24">LEN(B437)</f>
        <v>105</v>
      </c>
      <c r="D437" t="s">
        <v>1886</v>
      </c>
      <c r="E437" t="str" cm="1">
        <f t="array" ref="E437">_xlfn.IFS(IFERROR(FIND("M-3SII",B437),-1)&gt;0,"J_M3S2",IFERROR(FIND("M-V",B437),-1)&gt;0,"J_M5",IFERROR(FIND("M-4S",B437),-1)&gt;0,"J_M4S",IFERROR(FIND("M-3C",B437),-1)&gt;0,"J_M3C",IFERROR(FIND("M-3S",B437),-1)&gt;0,"J_M3S",IFERROR(FIND("M-3H",B437),-1)&gt;0,"J_M3H",IFERROR(FIND("H-IIA",B437),-1)&gt;0,"J_H2A",IFERROR(FIND("H-IIB",B437),-1)&gt;0,"J_H2B",IFERROR(FIND("H-II",B437),-1)&gt;0,"J_H2",IFERROR(FIND("H-I",B437),-1)&gt;0,"J_H1",IFERROR(FIND("N-II",B437),-1)&gt;0,"J_N2",IFERROR(FIND("N-I",B437),-1)&gt;0,"J_N1",IFERROR(FIND("イプシロン",B437),-1)&gt;0,"J_E",TRUE,"")</f>
        <v>J_H2A</v>
      </c>
      <c r="F437">
        <v>49</v>
      </c>
      <c r="G437" t="str">
        <f t="shared" ref="G437:G438" si="25">IF(E437&lt;&gt;"",E437&amp;"_"&amp;F437,"")</f>
        <v>J_H2A_49</v>
      </c>
      <c r="H437">
        <v>20250202</v>
      </c>
      <c r="I437" t="s">
        <v>1007</v>
      </c>
    </row>
    <row r="438" spans="1:9" ht="27" x14ac:dyDescent="0.15">
      <c r="A438" s="1" t="s">
        <v>1883</v>
      </c>
      <c r="B438" s="2" t="s">
        <v>1885</v>
      </c>
      <c r="C438">
        <f t="shared" si="24"/>
        <v>113</v>
      </c>
      <c r="D438" t="s">
        <v>1887</v>
      </c>
      <c r="E438" t="str" cm="1">
        <f t="array" ref="E438">_xlfn.IFS(IFERROR(FIND("M-3SII",B438),-1)&gt;0,"J_M3S2",IFERROR(FIND("M-V",B438),-1)&gt;0,"J_M5",IFERROR(FIND("M-4S",B438),-1)&gt;0,"J_M4S",IFERROR(FIND("M-3C",B438),-1)&gt;0,"J_M3C",IFERROR(FIND("M-3S",B438),-1)&gt;0,"J_M3S",IFERROR(FIND("M-3H",B438),-1)&gt;0,"J_M3H",IFERROR(FIND("H-IIA",B438),-1)&gt;0,"J_H2A",IFERROR(FIND("H-IIB",B438),-1)&gt;0,"J_H2B",IFERROR(FIND("H-II",B438),-1)&gt;0,"J_H2",IFERROR(FIND("H-I",B438),-1)&gt;0,"J_H1",IFERROR(FIND("N-II",B438),-1)&gt;0,"J_N2",IFERROR(FIND("N-I",B438),-1)&gt;0,"J_N1",IFERROR(FIND("イプシロン",B438),-1)&gt;0,"J_E",TRUE,"")</f>
        <v>J_H2A</v>
      </c>
      <c r="F438">
        <v>49</v>
      </c>
      <c r="G438" t="str">
        <f t="shared" si="25"/>
        <v>J_H2A_49</v>
      </c>
      <c r="H438">
        <v>20250202</v>
      </c>
      <c r="I438" t="s">
        <v>1007</v>
      </c>
    </row>
    <row r="439" spans="1:9" ht="27" x14ac:dyDescent="0.15">
      <c r="A439" s="1" t="s">
        <v>875</v>
      </c>
      <c r="B439" s="2" t="s">
        <v>365</v>
      </c>
      <c r="C439">
        <f t="shared" si="22"/>
        <v>87</v>
      </c>
      <c r="D439" t="s">
        <v>1313</v>
      </c>
      <c r="E439" t="str" cm="1">
        <f t="array" ref="E439">_xlfn.IFS(IFERROR(FIND("M-3SII",B439),-1)&gt;0,"J_M3S2",IFERROR(FIND("M-V",B439),-1)&gt;0,"J_M5",IFERROR(FIND("M-4S",B439),-1)&gt;0,"J_M4S",IFERROR(FIND("M-3C",B439),-1)&gt;0,"J_M3C",IFERROR(FIND("M-3S",B439),-1)&gt;0,"J_M3S",IFERROR(FIND("M-3H",B439),-1)&gt;0,"J_M3H",IFERROR(FIND("H-IIA",B439),-1)&gt;0,"J_H2A",IFERROR(FIND("H-IIB",B439),-1)&gt;0,"J_H2B",IFERROR(FIND("H-II",B439),-1)&gt;0,"J_H2",IFERROR(FIND("H-I",B439),-1)&gt;0,"J_H1",IFERROR(FIND("N-II",B439),-1)&gt;0,"J_N2",IFERROR(FIND("N-I",B439),-1)&gt;0,"J_N1",IFERROR(FIND("イプシロン",B439),-1)&gt;0,"J_E",TRUE,"")</f>
        <v/>
      </c>
      <c r="G439" t="str">
        <f t="shared" si="23"/>
        <v/>
      </c>
    </row>
    <row r="440" spans="1:9" ht="27" x14ac:dyDescent="0.15">
      <c r="A440" s="1" t="s">
        <v>877</v>
      </c>
      <c r="B440" s="2" t="s">
        <v>367</v>
      </c>
      <c r="C440">
        <f t="shared" si="22"/>
        <v>85</v>
      </c>
      <c r="D440" t="s">
        <v>1314</v>
      </c>
      <c r="E440" t="str" cm="1">
        <f t="array" ref="E440">_xlfn.IFS(IFERROR(FIND("M-3SII",B440),-1)&gt;0,"J_M3S2",IFERROR(FIND("M-V",B440),-1)&gt;0,"J_M5",IFERROR(FIND("M-4S",B440),-1)&gt;0,"J_M4S",IFERROR(FIND("M-3C",B440),-1)&gt;0,"J_M3C",IFERROR(FIND("M-3S",B440),-1)&gt;0,"J_M3S",IFERROR(FIND("M-3H",B440),-1)&gt;0,"J_M3H",IFERROR(FIND("H-IIA",B440),-1)&gt;0,"J_H2A",IFERROR(FIND("H-IIB",B440),-1)&gt;0,"J_H2B",IFERROR(FIND("H-II",B440),-1)&gt;0,"J_H2",IFERROR(FIND("H-I",B440),-1)&gt;0,"J_H1",IFERROR(FIND("N-II",B440),-1)&gt;0,"J_N2",IFERROR(FIND("N-I",B440),-1)&gt;0,"J_N1",IFERROR(FIND("イプシロン",B440),-1)&gt;0,"J_E",TRUE,"")</f>
        <v>J_M4S</v>
      </c>
      <c r="F440">
        <v>3</v>
      </c>
      <c r="G440" t="str">
        <f t="shared" si="23"/>
        <v>J_M4S_3</v>
      </c>
    </row>
    <row r="441" spans="1:9" x14ac:dyDescent="0.15">
      <c r="A441" s="1" t="s">
        <v>876</v>
      </c>
      <c r="B441" s="2" t="s">
        <v>366</v>
      </c>
      <c r="C441">
        <f t="shared" si="22"/>
        <v>51</v>
      </c>
      <c r="D441" t="s">
        <v>1558</v>
      </c>
      <c r="E441" t="str" cm="1">
        <f t="array" ref="E441">_xlfn.IFS(IFERROR(FIND("M-3SII",B441),-1)&gt;0,"J_M3S2",IFERROR(FIND("M-V",B441),-1)&gt;0,"J_M5",IFERROR(FIND("M-4S",B441),-1)&gt;0,"J_M4S",IFERROR(FIND("M-3C",B441),-1)&gt;0,"J_M3C",IFERROR(FIND("M-3S",B441),-1)&gt;0,"J_M3S",IFERROR(FIND("M-3H",B441),-1)&gt;0,"J_M3H",IFERROR(FIND("H-IIA",B441),-1)&gt;0,"J_H2A",IFERROR(FIND("H-IIB",B441),-1)&gt;0,"J_H2B",IFERROR(FIND("H-II",B441),-1)&gt;0,"J_H2",IFERROR(FIND("H-I",B441),-1)&gt;0,"J_H1",IFERROR(FIND("N-II",B441),-1)&gt;0,"J_N2",IFERROR(FIND("N-I",B441),-1)&gt;0,"J_N1",IFERROR(FIND("イプシロン",B441),-1)&gt;0,"J_E",TRUE,"")</f>
        <v>J_M4S</v>
      </c>
      <c r="F441">
        <v>3</v>
      </c>
      <c r="G441" t="str">
        <f t="shared" si="23"/>
        <v>J_M4S_3</v>
      </c>
    </row>
    <row r="442" spans="1:9" ht="27" x14ac:dyDescent="0.15">
      <c r="A442" s="1" t="s">
        <v>878</v>
      </c>
      <c r="B442" s="2" t="s">
        <v>368</v>
      </c>
      <c r="C442">
        <f t="shared" si="22"/>
        <v>110</v>
      </c>
      <c r="D442" t="s">
        <v>1315</v>
      </c>
      <c r="E442" t="str" cm="1">
        <f t="array" ref="E442">_xlfn.IFS(IFERROR(FIND("M-3SII",B442),-1)&gt;0,"J_M3S2",IFERROR(FIND("M-V",B442),-1)&gt;0,"J_M5",IFERROR(FIND("M-4S",B442),-1)&gt;0,"J_M4S",IFERROR(FIND("M-3C",B442),-1)&gt;0,"J_M3C",IFERROR(FIND("M-3S",B442),-1)&gt;0,"J_M3S",IFERROR(FIND("M-3H",B442),-1)&gt;0,"J_M3H",IFERROR(FIND("H-IIA",B442),-1)&gt;0,"J_H2A",IFERROR(FIND("H-IIB",B442),-1)&gt;0,"J_H2B",IFERROR(FIND("H-II",B442),-1)&gt;0,"J_H2",IFERROR(FIND("H-I",B442),-1)&gt;0,"J_H1",IFERROR(FIND("N-II",B442),-1)&gt;0,"J_N2",IFERROR(FIND("N-I",B442),-1)&gt;0,"J_N1",IFERROR(FIND("イプシロン",B442),-1)&gt;0,"J_E",TRUE,"")</f>
        <v/>
      </c>
      <c r="G442" t="str">
        <f t="shared" si="23"/>
        <v/>
      </c>
    </row>
    <row r="443" spans="1:9" ht="27" x14ac:dyDescent="0.15">
      <c r="A443" s="1" t="s">
        <v>879</v>
      </c>
      <c r="B443" s="2" t="s">
        <v>369</v>
      </c>
      <c r="C443">
        <f t="shared" si="22"/>
        <v>117</v>
      </c>
      <c r="D443" t="s">
        <v>1316</v>
      </c>
      <c r="E443" t="str" cm="1">
        <f t="array" ref="E443">_xlfn.IFS(IFERROR(FIND("M-3SII",B443),-1)&gt;0,"J_M3S2",IFERROR(FIND("M-V",B443),-1)&gt;0,"J_M5",IFERROR(FIND("M-4S",B443),-1)&gt;0,"J_M4S",IFERROR(FIND("M-3C",B443),-1)&gt;0,"J_M3C",IFERROR(FIND("M-3S",B443),-1)&gt;0,"J_M3S",IFERROR(FIND("M-3H",B443),-1)&gt;0,"J_M3H",IFERROR(FIND("H-IIA",B443),-1)&gt;0,"J_H2A",IFERROR(FIND("H-IIB",B443),-1)&gt;0,"J_H2B",IFERROR(FIND("H-II",B443),-1)&gt;0,"J_H2",IFERROR(FIND("H-I",B443),-1)&gt;0,"J_H1",IFERROR(FIND("N-II",B443),-1)&gt;0,"J_N2",IFERROR(FIND("N-I",B443),-1)&gt;0,"J_N1",IFERROR(FIND("イプシロン",B443),-1)&gt;0,"J_E",TRUE,"")</f>
        <v/>
      </c>
      <c r="G443" t="str">
        <f t="shared" si="23"/>
        <v/>
      </c>
    </row>
    <row r="444" spans="1:9" ht="27" x14ac:dyDescent="0.15">
      <c r="A444" s="1" t="s">
        <v>880</v>
      </c>
      <c r="B444" s="2" t="s">
        <v>370</v>
      </c>
      <c r="C444">
        <f t="shared" si="22"/>
        <v>112</v>
      </c>
      <c r="D444" t="s">
        <v>1317</v>
      </c>
      <c r="E444" t="str" cm="1">
        <f t="array" ref="E444">_xlfn.IFS(IFERROR(FIND("M-3SII",B444),-1)&gt;0,"J_M3S2",IFERROR(FIND("M-V",B444),-1)&gt;0,"J_M5",IFERROR(FIND("M-4S",B444),-1)&gt;0,"J_M4S",IFERROR(FIND("M-3C",B444),-1)&gt;0,"J_M3C",IFERROR(FIND("M-3S",B444),-1)&gt;0,"J_M3S",IFERROR(FIND("M-3H",B444),-1)&gt;0,"J_M3H",IFERROR(FIND("H-IIA",B444),-1)&gt;0,"J_H2A",IFERROR(FIND("H-IIB",B444),-1)&gt;0,"J_H2B",IFERROR(FIND("H-II",B444),-1)&gt;0,"J_H2",IFERROR(FIND("H-I",B444),-1)&gt;0,"J_H1",IFERROR(FIND("N-II",B444),-1)&gt;0,"J_N2",IFERROR(FIND("N-I",B444),-1)&gt;0,"J_N1",IFERROR(FIND("イプシロン",B444),-1)&gt;0,"J_E",TRUE,"")</f>
        <v/>
      </c>
      <c r="G444" t="str">
        <f t="shared" si="23"/>
        <v/>
      </c>
    </row>
    <row r="445" spans="1:9" ht="27" x14ac:dyDescent="0.15">
      <c r="A445" s="1" t="s">
        <v>881</v>
      </c>
      <c r="B445" s="2" t="s">
        <v>371</v>
      </c>
      <c r="C445">
        <f t="shared" si="22"/>
        <v>100</v>
      </c>
      <c r="D445" t="s">
        <v>1318</v>
      </c>
      <c r="E445" t="str" cm="1">
        <f t="array" ref="E445">_xlfn.IFS(IFERROR(FIND("M-3SII",B445),-1)&gt;0,"J_M3S2",IFERROR(FIND("M-V",B445),-1)&gt;0,"J_M5",IFERROR(FIND("M-4S",B445),-1)&gt;0,"J_M4S",IFERROR(FIND("M-3C",B445),-1)&gt;0,"J_M3C",IFERROR(FIND("M-3S",B445),-1)&gt;0,"J_M3S",IFERROR(FIND("M-3H",B445),-1)&gt;0,"J_M3H",IFERROR(FIND("H-IIA",B445),-1)&gt;0,"J_H2A",IFERROR(FIND("H-IIB",B445),-1)&gt;0,"J_H2B",IFERROR(FIND("H-II",B445),-1)&gt;0,"J_H2",IFERROR(FIND("H-I",B445),-1)&gt;0,"J_H1",IFERROR(FIND("N-II",B445),-1)&gt;0,"J_N2",IFERROR(FIND("N-I",B445),-1)&gt;0,"J_N1",IFERROR(FIND("イプシロン",B445),-1)&gt;0,"J_E",TRUE,"")</f>
        <v/>
      </c>
      <c r="G445" t="str">
        <f t="shared" si="23"/>
        <v/>
      </c>
    </row>
    <row r="446" spans="1:9" ht="27" x14ac:dyDescent="0.15">
      <c r="A446" s="1" t="s">
        <v>882</v>
      </c>
      <c r="B446" s="2" t="s">
        <v>372</v>
      </c>
      <c r="C446">
        <f t="shared" si="22"/>
        <v>115</v>
      </c>
      <c r="D446" t="s">
        <v>1319</v>
      </c>
      <c r="E446" t="str" cm="1">
        <f t="array" ref="E446">_xlfn.IFS(IFERROR(FIND("M-3SII",B446),-1)&gt;0,"J_M3S2",IFERROR(FIND("M-V",B446),-1)&gt;0,"J_M5",IFERROR(FIND("M-4S",B446),-1)&gt;0,"J_M4S",IFERROR(FIND("M-3C",B446),-1)&gt;0,"J_M3C",IFERROR(FIND("M-3S",B446),-1)&gt;0,"J_M3S",IFERROR(FIND("M-3H",B446),-1)&gt;0,"J_M3H",IFERROR(FIND("H-IIA",B446),-1)&gt;0,"J_H2A",IFERROR(FIND("H-IIB",B446),-1)&gt;0,"J_H2B",IFERROR(FIND("H-II",B446),-1)&gt;0,"J_H2",IFERROR(FIND("H-I",B446),-1)&gt;0,"J_H1",IFERROR(FIND("N-II",B446),-1)&gt;0,"J_N2",IFERROR(FIND("N-I",B446),-1)&gt;0,"J_N1",IFERROR(FIND("イプシロン",B446),-1)&gt;0,"J_E",TRUE,"")</f>
        <v/>
      </c>
      <c r="G446" t="str">
        <f t="shared" si="23"/>
        <v/>
      </c>
    </row>
    <row r="447" spans="1:9" ht="27" x14ac:dyDescent="0.15">
      <c r="A447" s="1" t="s">
        <v>883</v>
      </c>
      <c r="B447" s="2" t="s">
        <v>373</v>
      </c>
      <c r="C447">
        <f t="shared" si="22"/>
        <v>82</v>
      </c>
      <c r="D447" t="s">
        <v>1559</v>
      </c>
      <c r="E447" t="str" cm="1">
        <f t="array" ref="E447">_xlfn.IFS(IFERROR(FIND("M-3SII",B447),-1)&gt;0,"J_M3S2",IFERROR(FIND("M-V",B447),-1)&gt;0,"J_M5",IFERROR(FIND("M-4S",B447),-1)&gt;0,"J_M4S",IFERROR(FIND("M-3C",B447),-1)&gt;0,"J_M3C",IFERROR(FIND("M-3S",B447),-1)&gt;0,"J_M3S",IFERROR(FIND("M-3H",B447),-1)&gt;0,"J_M3H",IFERROR(FIND("H-IIA",B447),-1)&gt;0,"J_H2A",IFERROR(FIND("H-IIB",B447),-1)&gt;0,"J_H2B",IFERROR(FIND("H-II",B447),-1)&gt;0,"J_H2",IFERROR(FIND("H-I",B447),-1)&gt;0,"J_H1",IFERROR(FIND("N-II",B447),-1)&gt;0,"J_N2",IFERROR(FIND("N-I",B447),-1)&gt;0,"J_N1",IFERROR(FIND("イプシロン",B447),-1)&gt;0,"J_E",TRUE,"")</f>
        <v/>
      </c>
      <c r="G447" t="str">
        <f t="shared" si="23"/>
        <v/>
      </c>
    </row>
    <row r="448" spans="1:9" ht="27" x14ac:dyDescent="0.15">
      <c r="A448" s="1" t="s">
        <v>884</v>
      </c>
      <c r="B448" s="2" t="s">
        <v>374</v>
      </c>
      <c r="C448">
        <f t="shared" si="22"/>
        <v>116</v>
      </c>
      <c r="D448" t="s">
        <v>1320</v>
      </c>
      <c r="E448" t="str" cm="1">
        <f t="array" ref="E448">_xlfn.IFS(IFERROR(FIND("M-3SII",B448),-1)&gt;0,"J_M3S2",IFERROR(FIND("M-V",B448),-1)&gt;0,"J_M5",IFERROR(FIND("M-4S",B448),-1)&gt;0,"J_M4S",IFERROR(FIND("M-3C",B448),-1)&gt;0,"J_M3C",IFERROR(FIND("M-3S",B448),-1)&gt;0,"J_M3S",IFERROR(FIND("M-3H",B448),-1)&gt;0,"J_M3H",IFERROR(FIND("H-IIA",B448),-1)&gt;0,"J_H2A",IFERROR(FIND("H-IIB",B448),-1)&gt;0,"J_H2B",IFERROR(FIND("H-II",B448),-1)&gt;0,"J_H2",IFERROR(FIND("H-I",B448),-1)&gt;0,"J_H1",IFERROR(FIND("N-II",B448),-1)&gt;0,"J_N2",IFERROR(FIND("N-I",B448),-1)&gt;0,"J_N1",IFERROR(FIND("イプシロン",B448),-1)&gt;0,"J_E",TRUE,"")</f>
        <v/>
      </c>
      <c r="G448" t="str">
        <f t="shared" si="23"/>
        <v/>
      </c>
    </row>
    <row r="449" spans="1:7" ht="27" x14ac:dyDescent="0.15">
      <c r="A449" s="1" t="s">
        <v>885</v>
      </c>
      <c r="B449" s="2" t="s">
        <v>375</v>
      </c>
      <c r="C449">
        <f t="shared" si="22"/>
        <v>110</v>
      </c>
      <c r="D449" t="s">
        <v>1321</v>
      </c>
      <c r="E449" t="str" cm="1">
        <f t="array" ref="E449">_xlfn.IFS(IFERROR(FIND("M-3SII",B449),-1)&gt;0,"J_M3S2",IFERROR(FIND("M-V",B449),-1)&gt;0,"J_M5",IFERROR(FIND("M-4S",B449),-1)&gt;0,"J_M4S",IFERROR(FIND("M-3C",B449),-1)&gt;0,"J_M3C",IFERROR(FIND("M-3S",B449),-1)&gt;0,"J_M3S",IFERROR(FIND("M-3H",B449),-1)&gt;0,"J_M3H",IFERROR(FIND("H-IIA",B449),-1)&gt;0,"J_H2A",IFERROR(FIND("H-IIB",B449),-1)&gt;0,"J_H2B",IFERROR(FIND("H-II",B449),-1)&gt;0,"J_H2",IFERROR(FIND("H-I",B449),-1)&gt;0,"J_H1",IFERROR(FIND("N-II",B449),-1)&gt;0,"J_N2",IFERROR(FIND("N-I",B449),-1)&gt;0,"J_N1",IFERROR(FIND("イプシロン",B449),-1)&gt;0,"J_E",TRUE,"")</f>
        <v/>
      </c>
      <c r="G449" t="str">
        <f t="shared" si="23"/>
        <v/>
      </c>
    </row>
    <row r="450" spans="1:7" ht="27" x14ac:dyDescent="0.15">
      <c r="A450" s="1" t="s">
        <v>886</v>
      </c>
      <c r="B450" s="2" t="s">
        <v>376</v>
      </c>
      <c r="C450">
        <f t="shared" si="22"/>
        <v>110</v>
      </c>
      <c r="D450" t="s">
        <v>1322</v>
      </c>
      <c r="E450" t="str" cm="1">
        <f t="array" ref="E450">_xlfn.IFS(IFERROR(FIND("M-3SII",B450),-1)&gt;0,"J_M3S2",IFERROR(FIND("M-V",B450),-1)&gt;0,"J_M5",IFERROR(FIND("M-4S",B450),-1)&gt;0,"J_M4S",IFERROR(FIND("M-3C",B450),-1)&gt;0,"J_M3C",IFERROR(FIND("M-3S",B450),-1)&gt;0,"J_M3S",IFERROR(FIND("M-3H",B450),-1)&gt;0,"J_M3H",IFERROR(FIND("H-IIA",B450),-1)&gt;0,"J_H2A",IFERROR(FIND("H-IIB",B450),-1)&gt;0,"J_H2B",IFERROR(FIND("H-II",B450),-1)&gt;0,"J_H2",IFERROR(FIND("H-I",B450),-1)&gt;0,"J_H1",IFERROR(FIND("N-II",B450),-1)&gt;0,"J_N2",IFERROR(FIND("N-I",B450),-1)&gt;0,"J_N1",IFERROR(FIND("イプシロン",B450),-1)&gt;0,"J_E",TRUE,"")</f>
        <v/>
      </c>
      <c r="G450" t="str">
        <f t="shared" si="23"/>
        <v/>
      </c>
    </row>
    <row r="451" spans="1:7" ht="27" x14ac:dyDescent="0.15">
      <c r="A451" s="1" t="s">
        <v>887</v>
      </c>
      <c r="B451" s="2" t="s">
        <v>377</v>
      </c>
      <c r="C451">
        <f t="shared" si="22"/>
        <v>117</v>
      </c>
      <c r="D451" t="s">
        <v>1560</v>
      </c>
      <c r="E451" t="str" cm="1">
        <f t="array" ref="E451">_xlfn.IFS(IFERROR(FIND("M-3SII",B451),-1)&gt;0,"J_M3S2",IFERROR(FIND("M-V",B451),-1)&gt;0,"J_M5",IFERROR(FIND("M-4S",B451),-1)&gt;0,"J_M4S",IFERROR(FIND("M-3C",B451),-1)&gt;0,"J_M3C",IFERROR(FIND("M-3S",B451),-1)&gt;0,"J_M3S",IFERROR(FIND("M-3H",B451),-1)&gt;0,"J_M3H",IFERROR(FIND("H-IIA",B451),-1)&gt;0,"J_H2A",IFERROR(FIND("H-IIB",B451),-1)&gt;0,"J_H2B",IFERROR(FIND("H-II",B451),-1)&gt;0,"J_H2",IFERROR(FIND("H-I",B451),-1)&gt;0,"J_H1",IFERROR(FIND("N-II",B451),-1)&gt;0,"J_N2",IFERROR(FIND("N-I",B451),-1)&gt;0,"J_N1",IFERROR(FIND("イプシロン",B451),-1)&gt;0,"J_E",TRUE,"")</f>
        <v/>
      </c>
      <c r="G451" t="str">
        <f t="shared" si="23"/>
        <v/>
      </c>
    </row>
    <row r="452" spans="1:7" ht="27" x14ac:dyDescent="0.15">
      <c r="A452" s="1" t="s">
        <v>888</v>
      </c>
      <c r="B452" s="2" t="s">
        <v>378</v>
      </c>
      <c r="C452">
        <f t="shared" si="22"/>
        <v>111</v>
      </c>
      <c r="D452" t="s">
        <v>1323</v>
      </c>
      <c r="E452" t="str" cm="1">
        <f t="array" ref="E452">_xlfn.IFS(IFERROR(FIND("M-3SII",B452),-1)&gt;0,"J_M3S2",IFERROR(FIND("M-V",B452),-1)&gt;0,"J_M5",IFERROR(FIND("M-4S",B452),-1)&gt;0,"J_M4S",IFERROR(FIND("M-3C",B452),-1)&gt;0,"J_M3C",IFERROR(FIND("M-3S",B452),-1)&gt;0,"J_M3S",IFERROR(FIND("M-3H",B452),-1)&gt;0,"J_M3H",IFERROR(FIND("H-IIA",B452),-1)&gt;0,"J_H2A",IFERROR(FIND("H-IIB",B452),-1)&gt;0,"J_H2B",IFERROR(FIND("H-II",B452),-1)&gt;0,"J_H2",IFERROR(FIND("H-I",B452),-1)&gt;0,"J_H1",IFERROR(FIND("N-II",B452),-1)&gt;0,"J_N2",IFERROR(FIND("N-I",B452),-1)&gt;0,"J_N1",IFERROR(FIND("イプシロン",B452),-1)&gt;0,"J_E",TRUE,"")</f>
        <v/>
      </c>
      <c r="G452" t="str">
        <f t="shared" si="23"/>
        <v/>
      </c>
    </row>
    <row r="453" spans="1:7" ht="27" x14ac:dyDescent="0.15">
      <c r="A453" s="1" t="s">
        <v>889</v>
      </c>
      <c r="B453" s="2" t="s">
        <v>379</v>
      </c>
      <c r="C453">
        <f t="shared" si="22"/>
        <v>97</v>
      </c>
      <c r="D453" t="s">
        <v>1324</v>
      </c>
      <c r="E453" t="str" cm="1">
        <f t="array" ref="E453">_xlfn.IFS(IFERROR(FIND("M-3SII",B453),-1)&gt;0,"J_M3S2",IFERROR(FIND("M-V",B453),-1)&gt;0,"J_M5",IFERROR(FIND("M-4S",B453),-1)&gt;0,"J_M4S",IFERROR(FIND("M-3C",B453),-1)&gt;0,"J_M3C",IFERROR(FIND("M-3S",B453),-1)&gt;0,"J_M3S",IFERROR(FIND("M-3H",B453),-1)&gt;0,"J_M3H",IFERROR(FIND("H-IIA",B453),-1)&gt;0,"J_H2A",IFERROR(FIND("H-IIB",B453),-1)&gt;0,"J_H2B",IFERROR(FIND("H-II",B453),-1)&gt;0,"J_H2",IFERROR(FIND("H-I",B453),-1)&gt;0,"J_H1",IFERROR(FIND("N-II",B453),-1)&gt;0,"J_N2",IFERROR(FIND("N-I",B453),-1)&gt;0,"J_N1",IFERROR(FIND("イプシロン",B453),-1)&gt;0,"J_E",TRUE,"")</f>
        <v/>
      </c>
      <c r="G453" t="str">
        <f t="shared" si="23"/>
        <v/>
      </c>
    </row>
    <row r="454" spans="1:7" ht="27" x14ac:dyDescent="0.15">
      <c r="A454" s="1" t="s">
        <v>890</v>
      </c>
      <c r="B454" s="2" t="s">
        <v>380</v>
      </c>
      <c r="C454">
        <f t="shared" si="22"/>
        <v>115</v>
      </c>
      <c r="D454" t="s">
        <v>1325</v>
      </c>
      <c r="E454" t="str" cm="1">
        <f t="array" ref="E454">_xlfn.IFS(IFERROR(FIND("M-3SII",B454),-1)&gt;0,"J_M3S2",IFERROR(FIND("M-V",B454),-1)&gt;0,"J_M5",IFERROR(FIND("M-4S",B454),-1)&gt;0,"J_M4S",IFERROR(FIND("M-3C",B454),-1)&gt;0,"J_M3C",IFERROR(FIND("M-3S",B454),-1)&gt;0,"J_M3S",IFERROR(FIND("M-3H",B454),-1)&gt;0,"J_M3H",IFERROR(FIND("H-IIA",B454),-1)&gt;0,"J_H2A",IFERROR(FIND("H-IIB",B454),-1)&gt;0,"J_H2B",IFERROR(FIND("H-II",B454),-1)&gt;0,"J_H2",IFERROR(FIND("H-I",B454),-1)&gt;0,"J_H1",IFERROR(FIND("N-II",B454),-1)&gt;0,"J_N2",IFERROR(FIND("N-I",B454),-1)&gt;0,"J_N1",IFERROR(FIND("イプシロン",B454),-1)&gt;0,"J_E",TRUE,"")</f>
        <v/>
      </c>
      <c r="G454" t="str">
        <f t="shared" si="23"/>
        <v/>
      </c>
    </row>
    <row r="455" spans="1:7" x14ac:dyDescent="0.15">
      <c r="A455" s="1" t="s">
        <v>891</v>
      </c>
      <c r="B455" s="2" t="s">
        <v>381</v>
      </c>
      <c r="C455">
        <f t="shared" si="22"/>
        <v>75</v>
      </c>
      <c r="D455" t="s">
        <v>1326</v>
      </c>
      <c r="E455" t="str" cm="1">
        <f t="array" ref="E455">_xlfn.IFS(IFERROR(FIND("M-3SII",B455),-1)&gt;0,"J_M3S2",IFERROR(FIND("M-V",B455),-1)&gt;0,"J_M5",IFERROR(FIND("M-4S",B455),-1)&gt;0,"J_M4S",IFERROR(FIND("M-3C",B455),-1)&gt;0,"J_M3C",IFERROR(FIND("M-3S",B455),-1)&gt;0,"J_M3S",IFERROR(FIND("M-3H",B455),-1)&gt;0,"J_M3H",IFERROR(FIND("H-IIA",B455),-1)&gt;0,"J_H2A",IFERROR(FIND("H-IIB",B455),-1)&gt;0,"J_H2B",IFERROR(FIND("H-II",B455),-1)&gt;0,"J_H2",IFERROR(FIND("H-I",B455),-1)&gt;0,"J_H1",IFERROR(FIND("N-II",B455),-1)&gt;0,"J_N2",IFERROR(FIND("N-I",B455),-1)&gt;0,"J_N1",IFERROR(FIND("イプシロン",B455),-1)&gt;0,"J_E",TRUE,"")</f>
        <v/>
      </c>
      <c r="G455" t="str">
        <f t="shared" si="23"/>
        <v/>
      </c>
    </row>
    <row r="456" spans="1:7" ht="27" x14ac:dyDescent="0.15">
      <c r="A456" s="1" t="s">
        <v>892</v>
      </c>
      <c r="B456" s="2" t="s">
        <v>382</v>
      </c>
      <c r="C456">
        <f t="shared" si="22"/>
        <v>119</v>
      </c>
      <c r="D456" t="s">
        <v>1327</v>
      </c>
      <c r="E456" t="str" cm="1">
        <f t="array" ref="E456">_xlfn.IFS(IFERROR(FIND("M-3SII",B456),-1)&gt;0,"J_M3S2",IFERROR(FIND("M-V",B456),-1)&gt;0,"J_M5",IFERROR(FIND("M-4S",B456),-1)&gt;0,"J_M4S",IFERROR(FIND("M-3C",B456),-1)&gt;0,"J_M3C",IFERROR(FIND("M-3S",B456),-1)&gt;0,"J_M3S",IFERROR(FIND("M-3H",B456),-1)&gt;0,"J_M3H",IFERROR(FIND("H-IIA",B456),-1)&gt;0,"J_H2A",IFERROR(FIND("H-IIB",B456),-1)&gt;0,"J_H2B",IFERROR(FIND("H-II",B456),-1)&gt;0,"J_H2",IFERROR(FIND("H-I",B456),-1)&gt;0,"J_H1",IFERROR(FIND("N-II",B456),-1)&gt;0,"J_N2",IFERROR(FIND("N-I",B456),-1)&gt;0,"J_N1",IFERROR(FIND("イプシロン",B456),-1)&gt;0,"J_E",TRUE,"")</f>
        <v/>
      </c>
      <c r="G456" t="str">
        <f t="shared" si="23"/>
        <v/>
      </c>
    </row>
    <row r="457" spans="1:7" ht="27" x14ac:dyDescent="0.15">
      <c r="A457" s="1" t="s">
        <v>893</v>
      </c>
      <c r="B457" s="2" t="s">
        <v>383</v>
      </c>
      <c r="C457">
        <f t="shared" si="22"/>
        <v>119</v>
      </c>
      <c r="D457" t="s">
        <v>1328</v>
      </c>
      <c r="E457" t="str" cm="1">
        <f t="array" ref="E457">_xlfn.IFS(IFERROR(FIND("M-3SII",B457),-1)&gt;0,"J_M3S2",IFERROR(FIND("M-V",B457),-1)&gt;0,"J_M5",IFERROR(FIND("M-4S",B457),-1)&gt;0,"J_M4S",IFERROR(FIND("M-3C",B457),-1)&gt;0,"J_M3C",IFERROR(FIND("M-3S",B457),-1)&gt;0,"J_M3S",IFERROR(FIND("M-3H",B457),-1)&gt;0,"J_M3H",IFERROR(FIND("H-IIA",B457),-1)&gt;0,"J_H2A",IFERROR(FIND("H-IIB",B457),-1)&gt;0,"J_H2B",IFERROR(FIND("H-II",B457),-1)&gt;0,"J_H2",IFERROR(FIND("H-I",B457),-1)&gt;0,"J_H1",IFERROR(FIND("N-II",B457),-1)&gt;0,"J_N2",IFERROR(FIND("N-I",B457),-1)&gt;0,"J_N1",IFERROR(FIND("イプシロン",B457),-1)&gt;0,"J_E",TRUE,"")</f>
        <v/>
      </c>
      <c r="G457" t="str">
        <f t="shared" si="23"/>
        <v/>
      </c>
    </row>
    <row r="458" spans="1:7" ht="27" x14ac:dyDescent="0.15">
      <c r="A458" s="1" t="s">
        <v>894</v>
      </c>
      <c r="B458" s="2" t="s">
        <v>384</v>
      </c>
      <c r="C458">
        <f t="shared" si="22"/>
        <v>116</v>
      </c>
      <c r="D458" t="s">
        <v>1561</v>
      </c>
      <c r="E458" t="str" cm="1">
        <f t="array" ref="E458">_xlfn.IFS(IFERROR(FIND("M-3SII",B458),-1)&gt;0,"J_M3S2",IFERROR(FIND("M-V",B458),-1)&gt;0,"J_M5",IFERROR(FIND("M-4S",B458),-1)&gt;0,"J_M4S",IFERROR(FIND("M-3C",B458),-1)&gt;0,"J_M3C",IFERROR(FIND("M-3S",B458),-1)&gt;0,"J_M3S",IFERROR(FIND("M-3H",B458),-1)&gt;0,"J_M3H",IFERROR(FIND("H-IIA",B458),-1)&gt;0,"J_H2A",IFERROR(FIND("H-IIB",B458),-1)&gt;0,"J_H2B",IFERROR(FIND("H-II",B458),-1)&gt;0,"J_H2",IFERROR(FIND("H-I",B458),-1)&gt;0,"J_H1",IFERROR(FIND("N-II",B458),-1)&gt;0,"J_N2",IFERROR(FIND("N-I",B458),-1)&gt;0,"J_N1",IFERROR(FIND("イプシロン",B458),-1)&gt;0,"J_E",TRUE,"")</f>
        <v/>
      </c>
      <c r="G458" t="str">
        <f t="shared" si="23"/>
        <v/>
      </c>
    </row>
    <row r="459" spans="1:7" ht="27" x14ac:dyDescent="0.15">
      <c r="A459" s="1" t="s">
        <v>895</v>
      </c>
      <c r="B459" s="2" t="s">
        <v>385</v>
      </c>
      <c r="C459">
        <f t="shared" si="22"/>
        <v>114</v>
      </c>
      <c r="D459" t="s">
        <v>1329</v>
      </c>
      <c r="E459" t="str" cm="1">
        <f t="array" ref="E459">_xlfn.IFS(IFERROR(FIND("M-3SII",B459),-1)&gt;0,"J_M3S2",IFERROR(FIND("M-V",B459),-1)&gt;0,"J_M5",IFERROR(FIND("M-4S",B459),-1)&gt;0,"J_M4S",IFERROR(FIND("M-3C",B459),-1)&gt;0,"J_M3C",IFERROR(FIND("M-3S",B459),-1)&gt;0,"J_M3S",IFERROR(FIND("M-3H",B459),-1)&gt;0,"J_M3H",IFERROR(FIND("H-IIA",B459),-1)&gt;0,"J_H2A",IFERROR(FIND("H-IIB",B459),-1)&gt;0,"J_H2B",IFERROR(FIND("H-II",B459),-1)&gt;0,"J_H2",IFERROR(FIND("H-I",B459),-1)&gt;0,"J_H1",IFERROR(FIND("N-II",B459),-1)&gt;0,"J_N2",IFERROR(FIND("N-I",B459),-1)&gt;0,"J_N1",IFERROR(FIND("イプシロン",B459),-1)&gt;0,"J_E",TRUE,"")</f>
        <v/>
      </c>
      <c r="G459" t="str">
        <f t="shared" si="23"/>
        <v/>
      </c>
    </row>
    <row r="460" spans="1:7" ht="27" x14ac:dyDescent="0.15">
      <c r="A460" s="1" t="s">
        <v>896</v>
      </c>
      <c r="B460" s="2" t="s">
        <v>386</v>
      </c>
      <c r="C460">
        <f t="shared" si="22"/>
        <v>82</v>
      </c>
      <c r="D460" t="s">
        <v>1330</v>
      </c>
      <c r="E460" t="str" cm="1">
        <f t="array" ref="E460">_xlfn.IFS(IFERROR(FIND("M-3SII",B460),-1)&gt;0,"J_M3S2",IFERROR(FIND("M-V",B460),-1)&gt;0,"J_M5",IFERROR(FIND("M-4S",B460),-1)&gt;0,"J_M4S",IFERROR(FIND("M-3C",B460),-1)&gt;0,"J_M3C",IFERROR(FIND("M-3S",B460),-1)&gt;0,"J_M3S",IFERROR(FIND("M-3H",B460),-1)&gt;0,"J_M3H",IFERROR(FIND("H-IIA",B460),-1)&gt;0,"J_H2A",IFERROR(FIND("H-IIB",B460),-1)&gt;0,"J_H2B",IFERROR(FIND("H-II",B460),-1)&gt;0,"J_H2",IFERROR(FIND("H-I",B460),-1)&gt;0,"J_H1",IFERROR(FIND("N-II",B460),-1)&gt;0,"J_N2",IFERROR(FIND("N-I",B460),-1)&gt;0,"J_N1",IFERROR(FIND("イプシロン",B460),-1)&gt;0,"J_E",TRUE,"")</f>
        <v/>
      </c>
      <c r="G460" t="str">
        <f t="shared" si="23"/>
        <v/>
      </c>
    </row>
    <row r="461" spans="1:7" ht="27" x14ac:dyDescent="0.15">
      <c r="A461" s="1" t="s">
        <v>897</v>
      </c>
      <c r="B461" s="2" t="s">
        <v>387</v>
      </c>
      <c r="C461">
        <f t="shared" si="22"/>
        <v>112</v>
      </c>
      <c r="D461" t="s">
        <v>1331</v>
      </c>
      <c r="E461" t="str" cm="1">
        <f t="array" ref="E461">_xlfn.IFS(IFERROR(FIND("M-3SII",B461),-1)&gt;0,"J_M3S2",IFERROR(FIND("M-V",B461),-1)&gt;0,"J_M5",IFERROR(FIND("M-4S",B461),-1)&gt;0,"J_M4S",IFERROR(FIND("M-3C",B461),-1)&gt;0,"J_M3C",IFERROR(FIND("M-3S",B461),-1)&gt;0,"J_M3S",IFERROR(FIND("M-3H",B461),-1)&gt;0,"J_M3H",IFERROR(FIND("H-IIA",B461),-1)&gt;0,"J_H2A",IFERROR(FIND("H-IIB",B461),-1)&gt;0,"J_H2B",IFERROR(FIND("H-II",B461),-1)&gt;0,"J_H2",IFERROR(FIND("H-I",B461),-1)&gt;0,"J_H1",IFERROR(FIND("N-II",B461),-1)&gt;0,"J_N2",IFERROR(FIND("N-I",B461),-1)&gt;0,"J_N1",IFERROR(FIND("イプシロン",B461),-1)&gt;0,"J_E",TRUE,"")</f>
        <v/>
      </c>
      <c r="G461" t="str">
        <f t="shared" si="23"/>
        <v/>
      </c>
    </row>
    <row r="462" spans="1:7" ht="27" x14ac:dyDescent="0.15">
      <c r="A462" s="1" t="s">
        <v>898</v>
      </c>
      <c r="B462" s="2" t="s">
        <v>388</v>
      </c>
      <c r="C462">
        <f t="shared" si="22"/>
        <v>77</v>
      </c>
      <c r="D462" t="s">
        <v>1332</v>
      </c>
      <c r="E462" t="str" cm="1">
        <f t="array" ref="E462">_xlfn.IFS(IFERROR(FIND("M-3SII",B462),-1)&gt;0,"J_M3S2",IFERROR(FIND("M-V",B462),-1)&gt;0,"J_M5",IFERROR(FIND("M-4S",B462),-1)&gt;0,"J_M4S",IFERROR(FIND("M-3C",B462),-1)&gt;0,"J_M3C",IFERROR(FIND("M-3S",B462),-1)&gt;0,"J_M3S",IFERROR(FIND("M-3H",B462),-1)&gt;0,"J_M3H",IFERROR(FIND("H-IIA",B462),-1)&gt;0,"J_H2A",IFERROR(FIND("H-IIB",B462),-1)&gt;0,"J_H2B",IFERROR(FIND("H-II",B462),-1)&gt;0,"J_H2",IFERROR(FIND("H-I",B462),-1)&gt;0,"J_H1",IFERROR(FIND("N-II",B462),-1)&gt;0,"J_N2",IFERROR(FIND("N-I",B462),-1)&gt;0,"J_N1",IFERROR(FIND("イプシロン",B462),-1)&gt;0,"J_E",TRUE,"")</f>
        <v/>
      </c>
      <c r="G462" t="str">
        <f t="shared" si="23"/>
        <v/>
      </c>
    </row>
    <row r="463" spans="1:7" x14ac:dyDescent="0.15">
      <c r="A463" s="1" t="s">
        <v>899</v>
      </c>
      <c r="B463" s="2" t="s">
        <v>389</v>
      </c>
      <c r="C463">
        <f t="shared" si="22"/>
        <v>65</v>
      </c>
      <c r="D463" t="s">
        <v>1333</v>
      </c>
      <c r="E463" t="str" cm="1">
        <f t="array" ref="E463">_xlfn.IFS(IFERROR(FIND("M-3SII",B463),-1)&gt;0,"J_M3S2",IFERROR(FIND("M-V",B463),-1)&gt;0,"J_M5",IFERROR(FIND("M-4S",B463),-1)&gt;0,"J_M4S",IFERROR(FIND("M-3C",B463),-1)&gt;0,"J_M3C",IFERROR(FIND("M-3S",B463),-1)&gt;0,"J_M3S",IFERROR(FIND("M-3H",B463),-1)&gt;0,"J_M3H",IFERROR(FIND("H-IIA",B463),-1)&gt;0,"J_H2A",IFERROR(FIND("H-IIB",B463),-1)&gt;0,"J_H2B",IFERROR(FIND("H-II",B463),-1)&gt;0,"J_H2",IFERROR(FIND("H-I",B463),-1)&gt;0,"J_H1",IFERROR(FIND("N-II",B463),-1)&gt;0,"J_N2",IFERROR(FIND("N-I",B463),-1)&gt;0,"J_N1",IFERROR(FIND("イプシロン",B463),-1)&gt;0,"J_E",TRUE,"")</f>
        <v/>
      </c>
      <c r="G463" t="str">
        <f t="shared" si="23"/>
        <v/>
      </c>
    </row>
    <row r="464" spans="1:7" ht="27" x14ac:dyDescent="0.15">
      <c r="A464" s="1" t="s">
        <v>900</v>
      </c>
      <c r="B464" s="2" t="s">
        <v>390</v>
      </c>
      <c r="C464">
        <f t="shared" si="22"/>
        <v>117</v>
      </c>
      <c r="D464" t="s">
        <v>1334</v>
      </c>
      <c r="E464" t="str" cm="1">
        <f t="array" ref="E464">_xlfn.IFS(IFERROR(FIND("M-3SII",B464),-1)&gt;0,"J_M3S2",IFERROR(FIND("M-V",B464),-1)&gt;0,"J_M5",IFERROR(FIND("M-4S",B464),-1)&gt;0,"J_M4S",IFERROR(FIND("M-3C",B464),-1)&gt;0,"J_M3C",IFERROR(FIND("M-3S",B464),-1)&gt;0,"J_M3S",IFERROR(FIND("M-3H",B464),-1)&gt;0,"J_M3H",IFERROR(FIND("H-IIA",B464),-1)&gt;0,"J_H2A",IFERROR(FIND("H-IIB",B464),-1)&gt;0,"J_H2B",IFERROR(FIND("H-II",B464),-1)&gt;0,"J_H2",IFERROR(FIND("H-I",B464),-1)&gt;0,"J_H1",IFERROR(FIND("N-II",B464),-1)&gt;0,"J_N2",IFERROR(FIND("N-I",B464),-1)&gt;0,"J_N1",IFERROR(FIND("イプシロン",B464),-1)&gt;0,"J_E",TRUE,"")</f>
        <v/>
      </c>
      <c r="G464" t="str">
        <f t="shared" si="23"/>
        <v/>
      </c>
    </row>
    <row r="465" spans="1:9" ht="27" x14ac:dyDescent="0.15">
      <c r="A465" s="1" t="s">
        <v>901</v>
      </c>
      <c r="B465" s="2" t="s">
        <v>391</v>
      </c>
      <c r="C465">
        <f t="shared" si="22"/>
        <v>86</v>
      </c>
      <c r="D465" t="s">
        <v>1335</v>
      </c>
      <c r="E465" t="str" cm="1">
        <f t="array" ref="E465">_xlfn.IFS(IFERROR(FIND("M-3SII",B465),-1)&gt;0,"J_M3S2",IFERROR(FIND("M-V",B465),-1)&gt;0,"J_M5",IFERROR(FIND("M-4S",B465),-1)&gt;0,"J_M4S",IFERROR(FIND("M-3C",B465),-1)&gt;0,"J_M3C",IFERROR(FIND("M-3S",B465),-1)&gt;0,"J_M3S",IFERROR(FIND("M-3H",B465),-1)&gt;0,"J_M3H",IFERROR(FIND("H-IIA",B465),-1)&gt;0,"J_H2A",IFERROR(FIND("H-IIB",B465),-1)&gt;0,"J_H2B",IFERROR(FIND("H-II",B465),-1)&gt;0,"J_H2",IFERROR(FIND("H-I",B465),-1)&gt;0,"J_H1",IFERROR(FIND("N-II",B465),-1)&gt;0,"J_N2",IFERROR(FIND("N-I",B465),-1)&gt;0,"J_N1",IFERROR(FIND("イプシロン",B465),-1)&gt;0,"J_E",TRUE,"")</f>
        <v/>
      </c>
      <c r="G465" t="str">
        <f t="shared" si="23"/>
        <v/>
      </c>
    </row>
    <row r="466" spans="1:9" ht="27" x14ac:dyDescent="0.15">
      <c r="A466" s="1" t="s">
        <v>902</v>
      </c>
      <c r="B466" s="2" t="s">
        <v>392</v>
      </c>
      <c r="C466">
        <f t="shared" si="22"/>
        <v>86</v>
      </c>
      <c r="D466" t="s">
        <v>1336</v>
      </c>
      <c r="E466" t="str" cm="1">
        <f t="array" ref="E466">_xlfn.IFS(IFERROR(FIND("M-3SII",B466),-1)&gt;0,"J_M3S2",IFERROR(FIND("M-V",B466),-1)&gt;0,"J_M5",IFERROR(FIND("M-4S",B466),-1)&gt;0,"J_M4S",IFERROR(FIND("M-3C",B466),-1)&gt;0,"J_M3C",IFERROR(FIND("M-3S",B466),-1)&gt;0,"J_M3S",IFERROR(FIND("M-3H",B466),-1)&gt;0,"J_M3H",IFERROR(FIND("H-IIA",B466),-1)&gt;0,"J_H2A",IFERROR(FIND("H-IIB",B466),-1)&gt;0,"J_H2B",IFERROR(FIND("H-II",B466),-1)&gt;0,"J_H2",IFERROR(FIND("H-I",B466),-1)&gt;0,"J_H1",IFERROR(FIND("N-II",B466),-1)&gt;0,"J_N2",IFERROR(FIND("N-I",B466),-1)&gt;0,"J_N1",IFERROR(FIND("イプシロン",B466),-1)&gt;0,"J_E",TRUE,"")</f>
        <v/>
      </c>
      <c r="G466" t="str">
        <f t="shared" si="23"/>
        <v/>
      </c>
    </row>
    <row r="467" spans="1:9" ht="27" x14ac:dyDescent="0.15">
      <c r="A467" s="1" t="s">
        <v>903</v>
      </c>
      <c r="B467" s="2" t="s">
        <v>393</v>
      </c>
      <c r="C467">
        <f t="shared" si="22"/>
        <v>119</v>
      </c>
      <c r="D467" t="s">
        <v>1337</v>
      </c>
      <c r="E467" t="str" cm="1">
        <f t="array" ref="E467">_xlfn.IFS(IFERROR(FIND("M-3SII",B467),-1)&gt;0,"J_M3S2",IFERROR(FIND("M-V",B467),-1)&gt;0,"J_M5",IFERROR(FIND("M-4S",B467),-1)&gt;0,"J_M4S",IFERROR(FIND("M-3C",B467),-1)&gt;0,"J_M3C",IFERROR(FIND("M-3S",B467),-1)&gt;0,"J_M3S",IFERROR(FIND("M-3H",B467),-1)&gt;0,"J_M3H",IFERROR(FIND("H-IIA",B467),-1)&gt;0,"J_H2A",IFERROR(FIND("H-IIB",B467),-1)&gt;0,"J_H2B",IFERROR(FIND("H-II",B467),-1)&gt;0,"J_H2",IFERROR(FIND("H-I",B467),-1)&gt;0,"J_H1",IFERROR(FIND("N-II",B467),-1)&gt;0,"J_N2",IFERROR(FIND("N-I",B467),-1)&gt;0,"J_N1",IFERROR(FIND("イプシロン",B467),-1)&gt;0,"J_E",TRUE,"")</f>
        <v/>
      </c>
      <c r="G467" t="str">
        <f t="shared" si="23"/>
        <v/>
      </c>
    </row>
    <row r="468" spans="1:9" ht="27" x14ac:dyDescent="0.15">
      <c r="A468" s="1" t="s">
        <v>904</v>
      </c>
      <c r="B468" s="2" t="s">
        <v>394</v>
      </c>
      <c r="C468">
        <f t="shared" si="22"/>
        <v>100</v>
      </c>
      <c r="D468" t="s">
        <v>1338</v>
      </c>
      <c r="E468" t="str" cm="1">
        <f t="array" ref="E468">_xlfn.IFS(IFERROR(FIND("M-3SII",B468),-1)&gt;0,"J_M3S2",IFERROR(FIND("M-V",B468),-1)&gt;0,"J_M5",IFERROR(FIND("M-4S",B468),-1)&gt;0,"J_M4S",IFERROR(FIND("M-3C",B468),-1)&gt;0,"J_M3C",IFERROR(FIND("M-3S",B468),-1)&gt;0,"J_M3S",IFERROR(FIND("M-3H",B468),-1)&gt;0,"J_M3H",IFERROR(FIND("H-IIA",B468),-1)&gt;0,"J_H2A",IFERROR(FIND("H-IIB",B468),-1)&gt;0,"J_H2B",IFERROR(FIND("H-II",B468),-1)&gt;0,"J_H2",IFERROR(FIND("H-I",B468),-1)&gt;0,"J_H1",IFERROR(FIND("N-II",B468),-1)&gt;0,"J_N2",IFERROR(FIND("N-I",B468),-1)&gt;0,"J_N1",IFERROR(FIND("イプシロン",B468),-1)&gt;0,"J_E",TRUE,"")</f>
        <v/>
      </c>
      <c r="G468" t="str">
        <f t="shared" si="23"/>
        <v/>
      </c>
    </row>
    <row r="469" spans="1:9" ht="27" x14ac:dyDescent="0.15">
      <c r="A469" s="1" t="s">
        <v>905</v>
      </c>
      <c r="B469" s="2" t="s">
        <v>395</v>
      </c>
      <c r="C469">
        <f t="shared" ref="C469:C535" si="26">LEN(B469)</f>
        <v>119</v>
      </c>
      <c r="D469" t="s">
        <v>1339</v>
      </c>
      <c r="E469" t="str" cm="1">
        <f t="array" ref="E469">_xlfn.IFS(IFERROR(FIND("M-3SII",B469),-1)&gt;0,"J_M3S2",IFERROR(FIND("M-V",B469),-1)&gt;0,"J_M5",IFERROR(FIND("M-4S",B469),-1)&gt;0,"J_M4S",IFERROR(FIND("M-3C",B469),-1)&gt;0,"J_M3C",IFERROR(FIND("M-3S",B469),-1)&gt;0,"J_M3S",IFERROR(FIND("M-3H",B469),-1)&gt;0,"J_M3H",IFERROR(FIND("H-IIA",B469),-1)&gt;0,"J_H2A",IFERROR(FIND("H-IIB",B469),-1)&gt;0,"J_H2B",IFERROR(FIND("H-II",B469),-1)&gt;0,"J_H2",IFERROR(FIND("H-I",B469),-1)&gt;0,"J_H1",IFERROR(FIND("N-II",B469),-1)&gt;0,"J_N2",IFERROR(FIND("N-I",B469),-1)&gt;0,"J_N1",IFERROR(FIND("イプシロン",B469),-1)&gt;0,"J_E",TRUE,"")</f>
        <v/>
      </c>
      <c r="G469" t="str">
        <f t="shared" si="23"/>
        <v/>
      </c>
    </row>
    <row r="470" spans="1:9" ht="27" x14ac:dyDescent="0.15">
      <c r="A470" s="1" t="s">
        <v>906</v>
      </c>
      <c r="B470" s="2" t="s">
        <v>396</v>
      </c>
      <c r="C470">
        <f t="shared" si="26"/>
        <v>87</v>
      </c>
      <c r="D470" t="s">
        <v>1340</v>
      </c>
      <c r="E470" t="str" cm="1">
        <f t="array" ref="E470">_xlfn.IFS(IFERROR(FIND("M-3SII",B470),-1)&gt;0,"J_M3S2",IFERROR(FIND("M-V",B470),-1)&gt;0,"J_M5",IFERROR(FIND("M-4S",B470),-1)&gt;0,"J_M4S",IFERROR(FIND("M-3C",B470),-1)&gt;0,"J_M3C",IFERROR(FIND("M-3S",B470),-1)&gt;0,"J_M3S",IFERROR(FIND("M-3H",B470),-1)&gt;0,"J_M3H",IFERROR(FIND("H-IIA",B470),-1)&gt;0,"J_H2A",IFERROR(FIND("H-IIB",B470),-1)&gt;0,"J_H2B",IFERROR(FIND("H-II",B470),-1)&gt;0,"J_H2",IFERROR(FIND("H-I",B470),-1)&gt;0,"J_H1",IFERROR(FIND("N-II",B470),-1)&gt;0,"J_N2",IFERROR(FIND("N-I",B470),-1)&gt;0,"J_N1",IFERROR(FIND("イプシロン",B470),-1)&gt;0,"J_E",TRUE,"")</f>
        <v/>
      </c>
      <c r="G470" t="str">
        <f t="shared" ref="G470:G536" si="27">IF(E470&lt;&gt;"",E470&amp;"_"&amp;F470,"")</f>
        <v/>
      </c>
    </row>
    <row r="471" spans="1:9" ht="27" x14ac:dyDescent="0.15">
      <c r="A471" s="1" t="s">
        <v>907</v>
      </c>
      <c r="B471" s="2" t="s">
        <v>397</v>
      </c>
      <c r="C471">
        <f t="shared" si="26"/>
        <v>100</v>
      </c>
      <c r="D471" t="s">
        <v>1341</v>
      </c>
      <c r="E471" t="str" cm="1">
        <f t="array" ref="E471">_xlfn.IFS(IFERROR(FIND("M-3SII",B471),-1)&gt;0,"J_M3S2",IFERROR(FIND("M-V",B471),-1)&gt;0,"J_M5",IFERROR(FIND("M-4S",B471),-1)&gt;0,"J_M4S",IFERROR(FIND("M-3C",B471),-1)&gt;0,"J_M3C",IFERROR(FIND("M-3S",B471),-1)&gt;0,"J_M3S",IFERROR(FIND("M-3H",B471),-1)&gt;0,"J_M3H",IFERROR(FIND("H-IIA",B471),-1)&gt;0,"J_H2A",IFERROR(FIND("H-IIB",B471),-1)&gt;0,"J_H2B",IFERROR(FIND("H-II",B471),-1)&gt;0,"J_H2",IFERROR(FIND("H-I",B471),-1)&gt;0,"J_H1",IFERROR(FIND("N-II",B471),-1)&gt;0,"J_N2",IFERROR(FIND("N-I",B471),-1)&gt;0,"J_N1",IFERROR(FIND("イプシロン",B471),-1)&gt;0,"J_E",TRUE,"")</f>
        <v/>
      </c>
      <c r="G471" t="str">
        <f t="shared" si="27"/>
        <v/>
      </c>
    </row>
    <row r="472" spans="1:9" ht="27" x14ac:dyDescent="0.15">
      <c r="A472" s="1" t="s">
        <v>908</v>
      </c>
      <c r="B472" s="2" t="s">
        <v>398</v>
      </c>
      <c r="C472">
        <f t="shared" si="26"/>
        <v>97</v>
      </c>
      <c r="D472" t="s">
        <v>1342</v>
      </c>
      <c r="E472" t="str" cm="1">
        <f t="array" ref="E472">_xlfn.IFS(IFERROR(FIND("M-3SII",B472),-1)&gt;0,"J_M3S2",IFERROR(FIND("M-V",B472),-1)&gt;0,"J_M5",IFERROR(FIND("M-4S",B472),-1)&gt;0,"J_M4S",IFERROR(FIND("M-3C",B472),-1)&gt;0,"J_M3C",IFERROR(FIND("M-3S",B472),-1)&gt;0,"J_M3S",IFERROR(FIND("M-3H",B472),-1)&gt;0,"J_M3H",IFERROR(FIND("H-IIA",B472),-1)&gt;0,"J_H2A",IFERROR(FIND("H-IIB",B472),-1)&gt;0,"J_H2B",IFERROR(FIND("H-II",B472),-1)&gt;0,"J_H2",IFERROR(FIND("H-I",B472),-1)&gt;0,"J_H1",IFERROR(FIND("N-II",B472),-1)&gt;0,"J_N2",IFERROR(FIND("N-I",B472),-1)&gt;0,"J_N1",IFERROR(FIND("イプシロン",B472),-1)&gt;0,"J_E",TRUE,"")</f>
        <v/>
      </c>
      <c r="G472" t="str">
        <f t="shared" si="27"/>
        <v/>
      </c>
    </row>
    <row r="473" spans="1:9" ht="27" x14ac:dyDescent="0.15">
      <c r="A473" s="1" t="s">
        <v>909</v>
      </c>
      <c r="B473" s="2" t="s">
        <v>399</v>
      </c>
      <c r="C473">
        <f t="shared" si="26"/>
        <v>108</v>
      </c>
      <c r="D473" t="s">
        <v>1343</v>
      </c>
      <c r="E473" t="str" cm="1">
        <f t="array" ref="E473">_xlfn.IFS(IFERROR(FIND("M-3SII",B473),-1)&gt;0,"J_M3S2",IFERROR(FIND("M-V",B473),-1)&gt;0,"J_M5",IFERROR(FIND("M-4S",B473),-1)&gt;0,"J_M4S",IFERROR(FIND("M-3C",B473),-1)&gt;0,"J_M3C",IFERROR(FIND("M-3S",B473),-1)&gt;0,"J_M3S",IFERROR(FIND("M-3H",B473),-1)&gt;0,"J_M3H",IFERROR(FIND("H-IIA",B473),-1)&gt;0,"J_H2A",IFERROR(FIND("H-IIB",B473),-1)&gt;0,"J_H2B",IFERROR(FIND("H-II",B473),-1)&gt;0,"J_H2",IFERROR(FIND("H-I",B473),-1)&gt;0,"J_H1",IFERROR(FIND("N-II",B473),-1)&gt;0,"J_N2",IFERROR(FIND("N-I",B473),-1)&gt;0,"J_N1",IFERROR(FIND("イプシロン",B473),-1)&gt;0,"J_E",TRUE,"")</f>
        <v/>
      </c>
      <c r="G473" t="str">
        <f t="shared" si="27"/>
        <v/>
      </c>
    </row>
    <row r="474" spans="1:9" ht="27" x14ac:dyDescent="0.15">
      <c r="A474" s="1" t="s">
        <v>910</v>
      </c>
      <c r="B474" s="2" t="s">
        <v>1001</v>
      </c>
      <c r="C474">
        <f t="shared" si="26"/>
        <v>109</v>
      </c>
      <c r="D474" t="s">
        <v>1344</v>
      </c>
      <c r="E474" t="str" cm="1">
        <f t="array" ref="E474">_xlfn.IFS(IFERROR(FIND("M-3SII",B474),-1)&gt;0,"J_M3S2",IFERROR(FIND("M-V",B474),-1)&gt;0,"J_M5",IFERROR(FIND("M-4S",B474),-1)&gt;0,"J_M4S",IFERROR(FIND("M-3C",B474),-1)&gt;0,"J_M3C",IFERROR(FIND("M-3S",B474),-1)&gt;0,"J_M3S",IFERROR(FIND("M-3H",B474),-1)&gt;0,"J_M3H",IFERROR(FIND("H-IIA",B474),-1)&gt;0,"J_H2A",IFERROR(FIND("H-IIB",B474),-1)&gt;0,"J_H2B",IFERROR(FIND("H-II",B474),-1)&gt;0,"J_H2",IFERROR(FIND("H-I",B474),-1)&gt;0,"J_H1",IFERROR(FIND("N-II",B474),-1)&gt;0,"J_N2",IFERROR(FIND("N-I",B474),-1)&gt;0,"J_N1",IFERROR(FIND("イプシロン",B474),-1)&gt;0,"J_E",TRUE,"")</f>
        <v/>
      </c>
      <c r="G474" t="str">
        <f t="shared" si="27"/>
        <v/>
      </c>
      <c r="H474">
        <v>20170515</v>
      </c>
      <c r="I474" t="s">
        <v>1004</v>
      </c>
    </row>
    <row r="475" spans="1:9" ht="27" x14ac:dyDescent="0.15">
      <c r="A475" s="1" t="s">
        <v>911</v>
      </c>
      <c r="B475" s="2" t="s">
        <v>400</v>
      </c>
      <c r="C475">
        <f t="shared" si="26"/>
        <v>116</v>
      </c>
      <c r="D475" t="s">
        <v>1345</v>
      </c>
      <c r="E475" t="str" cm="1">
        <f t="array" ref="E475">_xlfn.IFS(IFERROR(FIND("M-3SII",B475),-1)&gt;0,"J_M3S2",IFERROR(FIND("M-V",B475),-1)&gt;0,"J_M5",IFERROR(FIND("M-4S",B475),-1)&gt;0,"J_M4S",IFERROR(FIND("M-3C",B475),-1)&gt;0,"J_M3C",IFERROR(FIND("M-3S",B475),-1)&gt;0,"J_M3S",IFERROR(FIND("M-3H",B475),-1)&gt;0,"J_M3H",IFERROR(FIND("H-IIA",B475),-1)&gt;0,"J_H2A",IFERROR(FIND("H-IIB",B475),-1)&gt;0,"J_H2B",IFERROR(FIND("H-II",B475),-1)&gt;0,"J_H2",IFERROR(FIND("H-I",B475),-1)&gt;0,"J_H1",IFERROR(FIND("N-II",B475),-1)&gt;0,"J_N2",IFERROR(FIND("N-I",B475),-1)&gt;0,"J_N1",IFERROR(FIND("イプシロン",B475),-1)&gt;0,"J_E",TRUE,"")</f>
        <v/>
      </c>
      <c r="G475" t="str">
        <f t="shared" si="27"/>
        <v/>
      </c>
    </row>
    <row r="476" spans="1:9" ht="27" x14ac:dyDescent="0.15">
      <c r="A476" s="1" t="s">
        <v>912</v>
      </c>
      <c r="B476" s="2" t="s">
        <v>401</v>
      </c>
      <c r="C476">
        <f t="shared" si="26"/>
        <v>79</v>
      </c>
      <c r="D476" t="s">
        <v>1346</v>
      </c>
      <c r="E476" t="str" cm="1">
        <f t="array" ref="E476">_xlfn.IFS(IFERROR(FIND("M-3SII",B476),-1)&gt;0,"J_M3S2",IFERROR(FIND("M-V",B476),-1)&gt;0,"J_M5",IFERROR(FIND("M-4S",B476),-1)&gt;0,"J_M4S",IFERROR(FIND("M-3C",B476),-1)&gt;0,"J_M3C",IFERROR(FIND("M-3S",B476),-1)&gt;0,"J_M3S",IFERROR(FIND("M-3H",B476),-1)&gt;0,"J_M3H",IFERROR(FIND("H-IIA",B476),-1)&gt;0,"J_H2A",IFERROR(FIND("H-IIB",B476),-1)&gt;0,"J_H2B",IFERROR(FIND("H-II",B476),-1)&gt;0,"J_H2",IFERROR(FIND("H-I",B476),-1)&gt;0,"J_H1",IFERROR(FIND("N-II",B476),-1)&gt;0,"J_N2",IFERROR(FIND("N-I",B476),-1)&gt;0,"J_N1",IFERROR(FIND("イプシロン",B476),-1)&gt;0,"J_E",TRUE,"")</f>
        <v/>
      </c>
      <c r="G476" t="str">
        <f t="shared" si="27"/>
        <v/>
      </c>
    </row>
    <row r="477" spans="1:9" ht="27" x14ac:dyDescent="0.15">
      <c r="A477" s="1" t="s">
        <v>913</v>
      </c>
      <c r="B477" s="2" t="s">
        <v>402</v>
      </c>
      <c r="C477">
        <f t="shared" si="26"/>
        <v>88</v>
      </c>
      <c r="D477" t="s">
        <v>1347</v>
      </c>
      <c r="E477" t="str" cm="1">
        <f t="array" ref="E477">_xlfn.IFS(IFERROR(FIND("M-3SII",B477),-1)&gt;0,"J_M3S2",IFERROR(FIND("M-V",B477),-1)&gt;0,"J_M5",IFERROR(FIND("M-4S",B477),-1)&gt;0,"J_M4S",IFERROR(FIND("M-3C",B477),-1)&gt;0,"J_M3C",IFERROR(FIND("M-3S",B477),-1)&gt;0,"J_M3S",IFERROR(FIND("M-3H",B477),-1)&gt;0,"J_M3H",IFERROR(FIND("H-IIA",B477),-1)&gt;0,"J_H2A",IFERROR(FIND("H-IIB",B477),-1)&gt;0,"J_H2B",IFERROR(FIND("H-II",B477),-1)&gt;0,"J_H2",IFERROR(FIND("H-I",B477),-1)&gt;0,"J_H1",IFERROR(FIND("N-II",B477),-1)&gt;0,"J_N2",IFERROR(FIND("N-I",B477),-1)&gt;0,"J_N1",IFERROR(FIND("イプシロン",B477),-1)&gt;0,"J_E",TRUE,"")</f>
        <v/>
      </c>
      <c r="G477" t="str">
        <f t="shared" si="27"/>
        <v/>
      </c>
    </row>
    <row r="478" spans="1:9" ht="27" x14ac:dyDescent="0.15">
      <c r="A478" s="1" t="s">
        <v>914</v>
      </c>
      <c r="B478" s="2" t="s">
        <v>403</v>
      </c>
      <c r="C478">
        <f t="shared" si="26"/>
        <v>104</v>
      </c>
      <c r="D478" t="s">
        <v>1348</v>
      </c>
      <c r="E478" t="str" cm="1">
        <f t="array" ref="E478">_xlfn.IFS(IFERROR(FIND("M-3SII",B478),-1)&gt;0,"J_M3S2",IFERROR(FIND("M-V",B478),-1)&gt;0,"J_M5",IFERROR(FIND("M-4S",B478),-1)&gt;0,"J_M4S",IFERROR(FIND("M-3C",B478),-1)&gt;0,"J_M3C",IFERROR(FIND("M-3S",B478),-1)&gt;0,"J_M3S",IFERROR(FIND("M-3H",B478),-1)&gt;0,"J_M3H",IFERROR(FIND("H-IIA",B478),-1)&gt;0,"J_H2A",IFERROR(FIND("H-IIB",B478),-1)&gt;0,"J_H2B",IFERROR(FIND("H-II",B478),-1)&gt;0,"J_H2",IFERROR(FIND("H-I",B478),-1)&gt;0,"J_H1",IFERROR(FIND("N-II",B478),-1)&gt;0,"J_N2",IFERROR(FIND("N-I",B478),-1)&gt;0,"J_N1",IFERROR(FIND("イプシロン",B478),-1)&gt;0,"J_E",TRUE,"")</f>
        <v/>
      </c>
      <c r="G478" t="str">
        <f t="shared" si="27"/>
        <v/>
      </c>
    </row>
    <row r="479" spans="1:9" ht="27" x14ac:dyDescent="0.15">
      <c r="A479" s="1" t="s">
        <v>915</v>
      </c>
      <c r="B479" s="2" t="s">
        <v>404</v>
      </c>
      <c r="C479">
        <f t="shared" si="26"/>
        <v>95</v>
      </c>
      <c r="D479" t="s">
        <v>1349</v>
      </c>
      <c r="E479" t="str" cm="1">
        <f t="array" ref="E479">_xlfn.IFS(IFERROR(FIND("M-3SII",B479),-1)&gt;0,"J_M3S2",IFERROR(FIND("M-V",B479),-1)&gt;0,"J_M5",IFERROR(FIND("M-4S",B479),-1)&gt;0,"J_M4S",IFERROR(FIND("M-3C",B479),-1)&gt;0,"J_M3C",IFERROR(FIND("M-3S",B479),-1)&gt;0,"J_M3S",IFERROR(FIND("M-3H",B479),-1)&gt;0,"J_M3H",IFERROR(FIND("H-IIA",B479),-1)&gt;0,"J_H2A",IFERROR(FIND("H-IIB",B479),-1)&gt;0,"J_H2B",IFERROR(FIND("H-II",B479),-1)&gt;0,"J_H2",IFERROR(FIND("H-I",B479),-1)&gt;0,"J_H1",IFERROR(FIND("N-II",B479),-1)&gt;0,"J_N2",IFERROR(FIND("N-I",B479),-1)&gt;0,"J_N1",IFERROR(FIND("イプシロン",B479),-1)&gt;0,"J_E",TRUE,"")</f>
        <v/>
      </c>
      <c r="G479" t="str">
        <f t="shared" si="27"/>
        <v/>
      </c>
    </row>
    <row r="480" spans="1:9" ht="27" x14ac:dyDescent="0.15">
      <c r="A480" s="1" t="s">
        <v>916</v>
      </c>
      <c r="B480" s="2" t="s">
        <v>405</v>
      </c>
      <c r="C480">
        <f t="shared" si="26"/>
        <v>85</v>
      </c>
      <c r="D480" t="s">
        <v>1350</v>
      </c>
      <c r="E480" t="str" cm="1">
        <f t="array" ref="E480">_xlfn.IFS(IFERROR(FIND("M-3SII",B480),-1)&gt;0,"J_M3S2",IFERROR(FIND("M-V",B480),-1)&gt;0,"J_M5",IFERROR(FIND("M-4S",B480),-1)&gt;0,"J_M4S",IFERROR(FIND("M-3C",B480),-1)&gt;0,"J_M3C",IFERROR(FIND("M-3S",B480),-1)&gt;0,"J_M3S",IFERROR(FIND("M-3H",B480),-1)&gt;0,"J_M3H",IFERROR(FIND("H-IIA",B480),-1)&gt;0,"J_H2A",IFERROR(FIND("H-IIB",B480),-1)&gt;0,"J_H2B",IFERROR(FIND("H-II",B480),-1)&gt;0,"J_H2",IFERROR(FIND("H-I",B480),-1)&gt;0,"J_H1",IFERROR(FIND("N-II",B480),-1)&gt;0,"J_N2",IFERROR(FIND("N-I",B480),-1)&gt;0,"J_N1",IFERROR(FIND("イプシロン",B480),-1)&gt;0,"J_E",TRUE,"")</f>
        <v/>
      </c>
      <c r="G480" t="str">
        <f t="shared" si="27"/>
        <v/>
      </c>
    </row>
    <row r="481" spans="1:9" ht="27" x14ac:dyDescent="0.15">
      <c r="A481" s="1" t="s">
        <v>917</v>
      </c>
      <c r="B481" s="2" t="s">
        <v>406</v>
      </c>
      <c r="C481">
        <f t="shared" si="26"/>
        <v>102</v>
      </c>
      <c r="D481" t="s">
        <v>1351</v>
      </c>
      <c r="E481" t="str" cm="1">
        <f t="array" ref="E481">_xlfn.IFS(IFERROR(FIND("M-3SII",B481),-1)&gt;0,"J_M3S2",IFERROR(FIND("M-V",B481),-1)&gt;0,"J_M5",IFERROR(FIND("M-4S",B481),-1)&gt;0,"J_M4S",IFERROR(FIND("M-3C",B481),-1)&gt;0,"J_M3C",IFERROR(FIND("M-3S",B481),-1)&gt;0,"J_M3S",IFERROR(FIND("M-3H",B481),-1)&gt;0,"J_M3H",IFERROR(FIND("H-IIA",B481),-1)&gt;0,"J_H2A",IFERROR(FIND("H-IIB",B481),-1)&gt;0,"J_H2B",IFERROR(FIND("H-II",B481),-1)&gt;0,"J_H2",IFERROR(FIND("H-I",B481),-1)&gt;0,"J_H1",IFERROR(FIND("N-II",B481),-1)&gt;0,"J_N2",IFERROR(FIND("N-I",B481),-1)&gt;0,"J_N1",IFERROR(FIND("イプシロン",B481),-1)&gt;0,"J_E",TRUE,"")</f>
        <v/>
      </c>
      <c r="G481" t="str">
        <f t="shared" si="27"/>
        <v/>
      </c>
    </row>
    <row r="482" spans="1:9" ht="27" x14ac:dyDescent="0.15">
      <c r="A482" s="1" t="s">
        <v>1881</v>
      </c>
      <c r="B482" s="2" t="s">
        <v>1877</v>
      </c>
      <c r="C482">
        <f t="shared" ref="C482:C483" si="28">LEN(B482)</f>
        <v>90</v>
      </c>
      <c r="D482" t="s">
        <v>1879</v>
      </c>
      <c r="E482" t="s">
        <v>1629</v>
      </c>
      <c r="F482">
        <v>4</v>
      </c>
      <c r="G482" t="str">
        <f>IF(E482&lt;&gt;"",E482&amp;"_"&amp;F482,"")</f>
        <v>J_H3_4</v>
      </c>
      <c r="H482">
        <v>20250202</v>
      </c>
      <c r="I482" t="s">
        <v>1875</v>
      </c>
    </row>
    <row r="483" spans="1:9" ht="27" x14ac:dyDescent="0.15">
      <c r="A483" s="1" t="s">
        <v>1876</v>
      </c>
      <c r="B483" s="2" t="s">
        <v>1878</v>
      </c>
      <c r="C483">
        <f t="shared" si="28"/>
        <v>100</v>
      </c>
      <c r="D483" t="s">
        <v>1880</v>
      </c>
      <c r="E483" t="s">
        <v>1629</v>
      </c>
      <c r="F483">
        <v>4</v>
      </c>
      <c r="G483" t="str">
        <f t="shared" ref="G483" si="29">IF(E483&lt;&gt;"",E483&amp;"_"&amp;F483,"")</f>
        <v>J_H3_4</v>
      </c>
      <c r="H483">
        <v>20250202</v>
      </c>
      <c r="I483" t="s">
        <v>1875</v>
      </c>
    </row>
    <row r="484" spans="1:9" ht="27" x14ac:dyDescent="0.15">
      <c r="A484" s="1" t="s">
        <v>918</v>
      </c>
      <c r="B484" s="2" t="s">
        <v>407</v>
      </c>
      <c r="C484">
        <f t="shared" si="26"/>
        <v>96</v>
      </c>
      <c r="D484" t="s">
        <v>1352</v>
      </c>
      <c r="E484" t="str" cm="1">
        <f t="array" ref="E484">_xlfn.IFS(IFERROR(FIND("M-3SII",B484),-1)&gt;0,"J_M3S2",IFERROR(FIND("M-V",B484),-1)&gt;0,"J_M5",IFERROR(FIND("M-4S",B484),-1)&gt;0,"J_M4S",IFERROR(FIND("M-3C",B484),-1)&gt;0,"J_M3C",IFERROR(FIND("M-3S",B484),-1)&gt;0,"J_M3S",IFERROR(FIND("M-3H",B484),-1)&gt;0,"J_M3H",IFERROR(FIND("H-IIA",B484),-1)&gt;0,"J_H2A",IFERROR(FIND("H-IIB",B484),-1)&gt;0,"J_H2B",IFERROR(FIND("H-II",B484),-1)&gt;0,"J_H2",IFERROR(FIND("H-I",B484),-1)&gt;0,"J_H1",IFERROR(FIND("N-II",B484),-1)&gt;0,"J_N2",IFERROR(FIND("N-I",B484),-1)&gt;0,"J_N1",IFERROR(FIND("イプシロン",B484),-1)&gt;0,"J_E",TRUE,"")</f>
        <v/>
      </c>
      <c r="G484" t="str">
        <f t="shared" si="27"/>
        <v/>
      </c>
    </row>
    <row r="485" spans="1:9" ht="27" x14ac:dyDescent="0.15">
      <c r="A485" s="1" t="s">
        <v>919</v>
      </c>
      <c r="B485" s="2" t="s">
        <v>408</v>
      </c>
      <c r="C485">
        <f t="shared" si="26"/>
        <v>114</v>
      </c>
      <c r="D485" t="s">
        <v>1353</v>
      </c>
      <c r="E485" t="str" cm="1">
        <f t="array" ref="E485">_xlfn.IFS(IFERROR(FIND("M-3SII",B485),-1)&gt;0,"J_M3S2",IFERROR(FIND("M-V",B485),-1)&gt;0,"J_M5",IFERROR(FIND("M-4S",B485),-1)&gt;0,"J_M4S",IFERROR(FIND("M-3C",B485),-1)&gt;0,"J_M3C",IFERROR(FIND("M-3S",B485),-1)&gt;0,"J_M3S",IFERROR(FIND("M-3H",B485),-1)&gt;0,"J_M3H",IFERROR(FIND("H-IIA",B485),-1)&gt;0,"J_H2A",IFERROR(FIND("H-IIB",B485),-1)&gt;0,"J_H2B",IFERROR(FIND("H-II",B485),-1)&gt;0,"J_H2",IFERROR(FIND("H-I",B485),-1)&gt;0,"J_H1",IFERROR(FIND("N-II",B485),-1)&gt;0,"J_N2",IFERROR(FIND("N-I",B485),-1)&gt;0,"J_N1",IFERROR(FIND("イプシロン",B485),-1)&gt;0,"J_E",TRUE,"")</f>
        <v/>
      </c>
      <c r="G485" t="str">
        <f t="shared" si="27"/>
        <v/>
      </c>
    </row>
    <row r="486" spans="1:9" ht="27" x14ac:dyDescent="0.15">
      <c r="A486" s="1" t="s">
        <v>920</v>
      </c>
      <c r="B486" s="2" t="s">
        <v>409</v>
      </c>
      <c r="C486">
        <f t="shared" si="26"/>
        <v>95</v>
      </c>
      <c r="D486" t="s">
        <v>1354</v>
      </c>
      <c r="E486" t="str" cm="1">
        <f t="array" ref="E486">_xlfn.IFS(IFERROR(FIND("M-3SII",B486),-1)&gt;0,"J_M3S2",IFERROR(FIND("M-V",B486),-1)&gt;0,"J_M5",IFERROR(FIND("M-4S",B486),-1)&gt;0,"J_M4S",IFERROR(FIND("M-3C",B486),-1)&gt;0,"J_M3C",IFERROR(FIND("M-3S",B486),-1)&gt;0,"J_M3S",IFERROR(FIND("M-3H",B486),-1)&gt;0,"J_M3H",IFERROR(FIND("H-IIA",B486),-1)&gt;0,"J_H2A",IFERROR(FIND("H-IIB",B486),-1)&gt;0,"J_H2B",IFERROR(FIND("H-II",B486),-1)&gt;0,"J_H2",IFERROR(FIND("H-I",B486),-1)&gt;0,"J_H1",IFERROR(FIND("N-II",B486),-1)&gt;0,"J_N2",IFERROR(FIND("N-I",B486),-1)&gt;0,"J_N1",IFERROR(FIND("イプシロン",B486),-1)&gt;0,"J_E",TRUE,"")</f>
        <v/>
      </c>
      <c r="G486" t="str">
        <f t="shared" si="27"/>
        <v/>
      </c>
    </row>
    <row r="487" spans="1:9" ht="27" x14ac:dyDescent="0.15">
      <c r="A487" s="1" t="s">
        <v>921</v>
      </c>
      <c r="B487" s="2" t="s">
        <v>410</v>
      </c>
      <c r="C487">
        <f t="shared" si="26"/>
        <v>65</v>
      </c>
      <c r="D487" t="s">
        <v>1355</v>
      </c>
      <c r="E487" t="str" cm="1">
        <f t="array" ref="E487">_xlfn.IFS(IFERROR(FIND("M-3SII",B487),-1)&gt;0,"J_M3S2",IFERROR(FIND("M-V",B487),-1)&gt;0,"J_M5",IFERROR(FIND("M-4S",B487),-1)&gt;0,"J_M4S",IFERROR(FIND("M-3C",B487),-1)&gt;0,"J_M3C",IFERROR(FIND("M-3S",B487),-1)&gt;0,"J_M3S",IFERROR(FIND("M-3H",B487),-1)&gt;0,"J_M3H",IFERROR(FIND("H-IIA",B487),-1)&gt;0,"J_H2A",IFERROR(FIND("H-IIB",B487),-1)&gt;0,"J_H2B",IFERROR(FIND("H-II",B487),-1)&gt;0,"J_H2",IFERROR(FIND("H-I",B487),-1)&gt;0,"J_H1",IFERROR(FIND("N-II",B487),-1)&gt;0,"J_N2",IFERROR(FIND("N-I",B487),-1)&gt;0,"J_N1",IFERROR(FIND("イプシロン",B487),-1)&gt;0,"J_E",TRUE,"")</f>
        <v/>
      </c>
      <c r="G487" t="str">
        <f t="shared" si="27"/>
        <v/>
      </c>
    </row>
    <row r="488" spans="1:9" ht="40.5" x14ac:dyDescent="0.15">
      <c r="A488" s="1" t="s">
        <v>922</v>
      </c>
      <c r="B488" s="2" t="s">
        <v>995</v>
      </c>
      <c r="C488">
        <f t="shared" si="26"/>
        <v>123</v>
      </c>
      <c r="D488" t="s">
        <v>1356</v>
      </c>
      <c r="E488" t="str" cm="1">
        <f t="array" ref="E488">_xlfn.IFS(IFERROR(FIND("M-3SII",B488),-1)&gt;0,"J_M3S2",IFERROR(FIND("M-V",B488),-1)&gt;0,"J_M5",IFERROR(FIND("M-4S",B488),-1)&gt;0,"J_M4S",IFERROR(FIND("M-3C",B488),-1)&gt;0,"J_M3C",IFERROR(FIND("M-3S",B488),-1)&gt;0,"J_M3S",IFERROR(FIND("M-3H",B488),-1)&gt;0,"J_M3H",IFERROR(FIND("H-IIA",B488),-1)&gt;0,"J_H2A",IFERROR(FIND("H-IIB",B488),-1)&gt;0,"J_H2B",IFERROR(FIND("H-II",B488),-1)&gt;0,"J_H2",IFERROR(FIND("H-I",B488),-1)&gt;0,"J_H1",IFERROR(FIND("N-II",B488),-1)&gt;0,"J_N2",IFERROR(FIND("N-I",B488),-1)&gt;0,"J_N1",IFERROR(FIND("イプシロン",B488),-1)&gt;0,"J_E",TRUE,"")</f>
        <v/>
      </c>
      <c r="G488" t="str">
        <f t="shared" si="27"/>
        <v/>
      </c>
      <c r="H488">
        <v>20170515</v>
      </c>
      <c r="I488" t="s">
        <v>1004</v>
      </c>
    </row>
    <row r="489" spans="1:9" ht="27" x14ac:dyDescent="0.15">
      <c r="A489" s="1" t="s">
        <v>923</v>
      </c>
      <c r="B489" s="2" t="s">
        <v>411</v>
      </c>
      <c r="C489">
        <f t="shared" si="26"/>
        <v>85</v>
      </c>
      <c r="D489" t="s">
        <v>1357</v>
      </c>
      <c r="E489" t="str" cm="1">
        <f t="array" ref="E489">_xlfn.IFS(IFERROR(FIND("M-3SII",B489),-1)&gt;0,"J_M3S2",IFERROR(FIND("M-V",B489),-1)&gt;0,"J_M5",IFERROR(FIND("M-4S",B489),-1)&gt;0,"J_M4S",IFERROR(FIND("M-3C",B489),-1)&gt;0,"J_M3C",IFERROR(FIND("M-3S",B489),-1)&gt;0,"J_M3S",IFERROR(FIND("M-3H",B489),-1)&gt;0,"J_M3H",IFERROR(FIND("H-IIA",B489),-1)&gt;0,"J_H2A",IFERROR(FIND("H-IIB",B489),-1)&gt;0,"J_H2B",IFERROR(FIND("H-II",B489),-1)&gt;0,"J_H2",IFERROR(FIND("H-I",B489),-1)&gt;0,"J_H1",IFERROR(FIND("N-II",B489),-1)&gt;0,"J_N2",IFERROR(FIND("N-I",B489),-1)&gt;0,"J_N1",IFERROR(FIND("イプシロン",B489),-1)&gt;0,"J_E",TRUE,"")</f>
        <v/>
      </c>
      <c r="G489" t="str">
        <f t="shared" si="27"/>
        <v/>
      </c>
    </row>
    <row r="490" spans="1:9" ht="27" x14ac:dyDescent="0.15">
      <c r="A490" s="1" t="s">
        <v>924</v>
      </c>
      <c r="B490" s="2" t="s">
        <v>412</v>
      </c>
      <c r="C490">
        <f t="shared" si="26"/>
        <v>99</v>
      </c>
      <c r="D490" t="s">
        <v>1358</v>
      </c>
      <c r="E490" t="str" cm="1">
        <f t="array" ref="E490">_xlfn.IFS(IFERROR(FIND("M-3SII",B490),-1)&gt;0,"J_M3S2",IFERROR(FIND("M-V",B490),-1)&gt;0,"J_M5",IFERROR(FIND("M-4S",B490),-1)&gt;0,"J_M4S",IFERROR(FIND("M-3C",B490),-1)&gt;0,"J_M3C",IFERROR(FIND("M-3S",B490),-1)&gt;0,"J_M3S",IFERROR(FIND("M-3H",B490),-1)&gt;0,"J_M3H",IFERROR(FIND("H-IIA",B490),-1)&gt;0,"J_H2A",IFERROR(FIND("H-IIB",B490),-1)&gt;0,"J_H2B",IFERROR(FIND("H-II",B490),-1)&gt;0,"J_H2",IFERROR(FIND("H-I",B490),-1)&gt;0,"J_H1",IFERROR(FIND("N-II",B490),-1)&gt;0,"J_N2",IFERROR(FIND("N-I",B490),-1)&gt;0,"J_N1",IFERROR(FIND("イプシロン",B490),-1)&gt;0,"J_E",TRUE,"")</f>
        <v/>
      </c>
      <c r="G490" t="str">
        <f t="shared" si="27"/>
        <v/>
      </c>
    </row>
    <row r="491" spans="1:9" ht="27" x14ac:dyDescent="0.15">
      <c r="A491" s="1" t="s">
        <v>925</v>
      </c>
      <c r="B491" s="2" t="s">
        <v>413</v>
      </c>
      <c r="C491">
        <f t="shared" si="26"/>
        <v>108</v>
      </c>
      <c r="D491" t="s">
        <v>1359</v>
      </c>
      <c r="E491" t="str" cm="1">
        <f t="array" ref="E491">_xlfn.IFS(IFERROR(FIND("M-3SII",B491),-1)&gt;0,"J_M3S2",IFERROR(FIND("M-V",B491),-1)&gt;0,"J_M5",IFERROR(FIND("M-4S",B491),-1)&gt;0,"J_M4S",IFERROR(FIND("M-3C",B491),-1)&gt;0,"J_M3C",IFERROR(FIND("M-3S",B491),-1)&gt;0,"J_M3S",IFERROR(FIND("M-3H",B491),-1)&gt;0,"J_M3H",IFERROR(FIND("H-IIA",B491),-1)&gt;0,"J_H2A",IFERROR(FIND("H-IIB",B491),-1)&gt;0,"J_H2B",IFERROR(FIND("H-II",B491),-1)&gt;0,"J_H2",IFERROR(FIND("H-I",B491),-1)&gt;0,"J_H1",IFERROR(FIND("N-II",B491),-1)&gt;0,"J_N2",IFERROR(FIND("N-I",B491),-1)&gt;0,"J_N1",IFERROR(FIND("イプシロン",B491),-1)&gt;0,"J_E",TRUE,"")</f>
        <v/>
      </c>
      <c r="G491" t="str">
        <f t="shared" si="27"/>
        <v/>
      </c>
    </row>
    <row r="492" spans="1:9" ht="27" x14ac:dyDescent="0.15">
      <c r="A492" s="1" t="s">
        <v>926</v>
      </c>
      <c r="B492" s="2" t="s">
        <v>414</v>
      </c>
      <c r="C492">
        <f t="shared" si="26"/>
        <v>118</v>
      </c>
      <c r="D492" t="s">
        <v>1562</v>
      </c>
      <c r="E492" t="str" cm="1">
        <f t="array" ref="E492">_xlfn.IFS(IFERROR(FIND("M-3SII",B492),-1)&gt;0,"J_M3S2",IFERROR(FIND("M-V",B492),-1)&gt;0,"J_M5",IFERROR(FIND("M-4S",B492),-1)&gt;0,"J_M4S",IFERROR(FIND("M-3C",B492),-1)&gt;0,"J_M3C",IFERROR(FIND("M-3S",B492),-1)&gt;0,"J_M3S",IFERROR(FIND("M-3H",B492),-1)&gt;0,"J_M3H",IFERROR(FIND("H-IIA",B492),-1)&gt;0,"J_H2A",IFERROR(FIND("H-IIB",B492),-1)&gt;0,"J_H2B",IFERROR(FIND("H-II",B492),-1)&gt;0,"J_H2",IFERROR(FIND("H-I",B492),-1)&gt;0,"J_H1",IFERROR(FIND("N-II",B492),-1)&gt;0,"J_N2",IFERROR(FIND("N-I",B492),-1)&gt;0,"J_N1",IFERROR(FIND("イプシロン",B492),-1)&gt;0,"J_E",TRUE,"")</f>
        <v/>
      </c>
      <c r="G492" t="str">
        <f t="shared" si="27"/>
        <v/>
      </c>
    </row>
    <row r="493" spans="1:9" ht="27" x14ac:dyDescent="0.15">
      <c r="A493" s="1" t="s">
        <v>927</v>
      </c>
      <c r="B493" s="2" t="s">
        <v>415</v>
      </c>
      <c r="C493">
        <f t="shared" si="26"/>
        <v>93</v>
      </c>
      <c r="D493" t="s">
        <v>1360</v>
      </c>
      <c r="E493" t="str" cm="1">
        <f t="array" ref="E493">_xlfn.IFS(IFERROR(FIND("M-3SII",B493),-1)&gt;0,"J_M3S2",IFERROR(FIND("M-V",B493),-1)&gt;0,"J_M5",IFERROR(FIND("M-4S",B493),-1)&gt;0,"J_M4S",IFERROR(FIND("M-3C",B493),-1)&gt;0,"J_M3C",IFERROR(FIND("M-3S",B493),-1)&gt;0,"J_M3S",IFERROR(FIND("M-3H",B493),-1)&gt;0,"J_M3H",IFERROR(FIND("H-IIA",B493),-1)&gt;0,"J_H2A",IFERROR(FIND("H-IIB",B493),-1)&gt;0,"J_H2B",IFERROR(FIND("H-II",B493),-1)&gt;0,"J_H2",IFERROR(FIND("H-I",B493),-1)&gt;0,"J_H1",IFERROR(FIND("N-II",B493),-1)&gt;0,"J_N2",IFERROR(FIND("N-I",B493),-1)&gt;0,"J_N1",IFERROR(FIND("イプシロン",B493),-1)&gt;0,"J_E",TRUE,"")</f>
        <v/>
      </c>
      <c r="G493" t="str">
        <f t="shared" si="27"/>
        <v/>
      </c>
    </row>
    <row r="494" spans="1:9" ht="27" x14ac:dyDescent="0.15">
      <c r="A494" s="1" t="s">
        <v>928</v>
      </c>
      <c r="B494" s="2" t="s">
        <v>416</v>
      </c>
      <c r="C494">
        <f t="shared" si="26"/>
        <v>114</v>
      </c>
      <c r="D494" t="s">
        <v>1361</v>
      </c>
      <c r="E494" t="str" cm="1">
        <f t="array" ref="E494">_xlfn.IFS(IFERROR(FIND("M-3SII",B494),-1)&gt;0,"J_M3S2",IFERROR(FIND("M-V",B494),-1)&gt;0,"J_M5",IFERROR(FIND("M-4S",B494),-1)&gt;0,"J_M4S",IFERROR(FIND("M-3C",B494),-1)&gt;0,"J_M3C",IFERROR(FIND("M-3S",B494),-1)&gt;0,"J_M3S",IFERROR(FIND("M-3H",B494),-1)&gt;0,"J_M3H",IFERROR(FIND("H-IIA",B494),-1)&gt;0,"J_H2A",IFERROR(FIND("H-IIB",B494),-1)&gt;0,"J_H2B",IFERROR(FIND("H-II",B494),-1)&gt;0,"J_H2",IFERROR(FIND("H-I",B494),-1)&gt;0,"J_H1",IFERROR(FIND("N-II",B494),-1)&gt;0,"J_N2",IFERROR(FIND("N-I",B494),-1)&gt;0,"J_N1",IFERROR(FIND("イプシロン",B494),-1)&gt;0,"J_E",TRUE,"")</f>
        <v/>
      </c>
      <c r="G494" t="str">
        <f t="shared" si="27"/>
        <v/>
      </c>
    </row>
    <row r="495" spans="1:9" ht="27" x14ac:dyDescent="0.15">
      <c r="A495" s="1" t="s">
        <v>930</v>
      </c>
      <c r="B495" s="2" t="s">
        <v>418</v>
      </c>
      <c r="C495">
        <f t="shared" si="26"/>
        <v>118</v>
      </c>
      <c r="D495" t="s">
        <v>1362</v>
      </c>
      <c r="E495" t="str" cm="1">
        <f t="array" ref="E495">_xlfn.IFS(IFERROR(FIND("M-3SII",B495),-1)&gt;0,"J_M3S2",IFERROR(FIND("M-V",B495),-1)&gt;0,"J_M5",IFERROR(FIND("M-4S",B495),-1)&gt;0,"J_M4S",IFERROR(FIND("M-3C",B495),-1)&gt;0,"J_M3C",IFERROR(FIND("M-3S",B495),-1)&gt;0,"J_M3S",IFERROR(FIND("M-3H",B495),-1)&gt;0,"J_M3H",IFERROR(FIND("H-IIA",B495),-1)&gt;0,"J_H2A",IFERROR(FIND("H-IIB",B495),-1)&gt;0,"J_H2B",IFERROR(FIND("H-II",B495),-1)&gt;0,"J_H2",IFERROR(FIND("H-I",B495),-1)&gt;0,"J_H1",IFERROR(FIND("N-II",B495),-1)&gt;0,"J_N2",IFERROR(FIND("N-I",B495),-1)&gt;0,"J_N1",IFERROR(FIND("イプシロン",B495),-1)&gt;0,"J_E",TRUE,"")</f>
        <v>J_H2</v>
      </c>
      <c r="F495">
        <v>8</v>
      </c>
      <c r="G495" t="str">
        <f t="shared" si="27"/>
        <v>J_H2_8</v>
      </c>
    </row>
    <row r="496" spans="1:9" ht="40.5" x14ac:dyDescent="0.15">
      <c r="A496" s="1" t="s">
        <v>929</v>
      </c>
      <c r="B496" s="2" t="s">
        <v>417</v>
      </c>
      <c r="C496">
        <f t="shared" si="26"/>
        <v>132</v>
      </c>
      <c r="D496" t="s">
        <v>1563</v>
      </c>
      <c r="E496" t="str" cm="1">
        <f t="array" ref="E496">_xlfn.IFS(IFERROR(FIND("M-3SII",B496),-1)&gt;0,"J_M3S2",IFERROR(FIND("M-V",B496),-1)&gt;0,"J_M5",IFERROR(FIND("M-4S",B496),-1)&gt;0,"J_M4S",IFERROR(FIND("M-3C",B496),-1)&gt;0,"J_M3C",IFERROR(FIND("M-3S",B496),-1)&gt;0,"J_M3S",IFERROR(FIND("M-3H",B496),-1)&gt;0,"J_M3H",IFERROR(FIND("H-IIA",B496),-1)&gt;0,"J_H2A",IFERROR(FIND("H-IIB",B496),-1)&gt;0,"J_H2B",IFERROR(FIND("H-II",B496),-1)&gt;0,"J_H2",IFERROR(FIND("H-I",B496),-1)&gt;0,"J_H1",IFERROR(FIND("N-II",B496),-1)&gt;0,"J_N2",IFERROR(FIND("N-I",B496),-1)&gt;0,"J_N1",IFERROR(FIND("イプシロン",B496),-1)&gt;0,"J_E",TRUE,"")</f>
        <v>J_H2</v>
      </c>
      <c r="F496">
        <v>8</v>
      </c>
      <c r="G496" t="str">
        <f t="shared" si="27"/>
        <v>J_H2_8</v>
      </c>
    </row>
    <row r="497" spans="1:9" ht="27" x14ac:dyDescent="0.15">
      <c r="A497" s="1" t="s">
        <v>931</v>
      </c>
      <c r="B497" s="2" t="s">
        <v>419</v>
      </c>
      <c r="C497">
        <f t="shared" si="26"/>
        <v>115</v>
      </c>
      <c r="D497" t="s">
        <v>1564</v>
      </c>
      <c r="E497" t="str" cm="1">
        <f t="array" ref="E497">_xlfn.IFS(IFERROR(FIND("M-3SII",B497),-1)&gt;0,"J_M3S2",IFERROR(FIND("M-V",B497),-1)&gt;0,"J_M5",IFERROR(FIND("M-4S",B497),-1)&gt;0,"J_M4S",IFERROR(FIND("M-3C",B497),-1)&gt;0,"J_M3C",IFERROR(FIND("M-3S",B497),-1)&gt;0,"J_M3S",IFERROR(FIND("M-3H",B497),-1)&gt;0,"J_M3H",IFERROR(FIND("H-IIA",B497),-1)&gt;0,"J_H2A",IFERROR(FIND("H-IIB",B497),-1)&gt;0,"J_H2B",IFERROR(FIND("H-II",B497),-1)&gt;0,"J_H2",IFERROR(FIND("H-I",B497),-1)&gt;0,"J_H1",IFERROR(FIND("N-II",B497),-1)&gt;0,"J_N2",IFERROR(FIND("N-I",B497),-1)&gt;0,"J_N1",IFERROR(FIND("イプシロン",B497),-1)&gt;0,"J_E",TRUE,"")</f>
        <v/>
      </c>
      <c r="G497" t="str">
        <f t="shared" si="27"/>
        <v/>
      </c>
    </row>
    <row r="498" spans="1:9" ht="27" x14ac:dyDescent="0.15">
      <c r="A498" s="1" t="s">
        <v>932</v>
      </c>
      <c r="B498" s="2" t="s">
        <v>420</v>
      </c>
      <c r="C498">
        <f t="shared" si="26"/>
        <v>95</v>
      </c>
      <c r="D498" t="s">
        <v>1363</v>
      </c>
      <c r="E498" t="str" cm="1">
        <f t="array" ref="E498">_xlfn.IFS(IFERROR(FIND("M-3SII",B498),-1)&gt;0,"J_M3S2",IFERROR(FIND("M-V",B498),-1)&gt;0,"J_M5",IFERROR(FIND("M-4S",B498),-1)&gt;0,"J_M4S",IFERROR(FIND("M-3C",B498),-1)&gt;0,"J_M3C",IFERROR(FIND("M-3S",B498),-1)&gt;0,"J_M3S",IFERROR(FIND("M-3H",B498),-1)&gt;0,"J_M3H",IFERROR(FIND("H-IIA",B498),-1)&gt;0,"J_H2A",IFERROR(FIND("H-IIB",B498),-1)&gt;0,"J_H2B",IFERROR(FIND("H-II",B498),-1)&gt;0,"J_H2",IFERROR(FIND("H-I",B498),-1)&gt;0,"J_H1",IFERROR(FIND("N-II",B498),-1)&gt;0,"J_N2",IFERROR(FIND("N-I",B498),-1)&gt;0,"J_N1",IFERROR(FIND("イプシロン",B498),-1)&gt;0,"J_E",TRUE,"")</f>
        <v/>
      </c>
      <c r="G498" t="str">
        <f t="shared" si="27"/>
        <v/>
      </c>
    </row>
    <row r="499" spans="1:9" ht="27" x14ac:dyDescent="0.15">
      <c r="A499" s="1" t="s">
        <v>933</v>
      </c>
      <c r="B499" s="2" t="s">
        <v>421</v>
      </c>
      <c r="C499">
        <f t="shared" si="26"/>
        <v>91</v>
      </c>
      <c r="D499" t="s">
        <v>1364</v>
      </c>
      <c r="E499" t="str" cm="1">
        <f t="array" ref="E499">_xlfn.IFS(IFERROR(FIND("M-3SII",B499),-1)&gt;0,"J_M3S2",IFERROR(FIND("M-V",B499),-1)&gt;0,"J_M5",IFERROR(FIND("M-4S",B499),-1)&gt;0,"J_M4S",IFERROR(FIND("M-3C",B499),-1)&gt;0,"J_M3C",IFERROR(FIND("M-3S",B499),-1)&gt;0,"J_M3S",IFERROR(FIND("M-3H",B499),-1)&gt;0,"J_M3H",IFERROR(FIND("H-IIA",B499),-1)&gt;0,"J_H2A",IFERROR(FIND("H-IIB",B499),-1)&gt;0,"J_H2B",IFERROR(FIND("H-II",B499),-1)&gt;0,"J_H2",IFERROR(FIND("H-I",B499),-1)&gt;0,"J_H1",IFERROR(FIND("N-II",B499),-1)&gt;0,"J_N2",IFERROR(FIND("N-I",B499),-1)&gt;0,"J_N1",IFERROR(FIND("イプシロン",B499),-1)&gt;0,"J_E",TRUE,"")</f>
        <v/>
      </c>
      <c r="G499" t="str">
        <f t="shared" si="27"/>
        <v/>
      </c>
    </row>
    <row r="500" spans="1:9" ht="27" x14ac:dyDescent="0.15">
      <c r="A500" s="1" t="s">
        <v>934</v>
      </c>
      <c r="B500" s="2" t="s">
        <v>422</v>
      </c>
      <c r="C500">
        <f t="shared" si="26"/>
        <v>84</v>
      </c>
      <c r="D500" t="s">
        <v>1365</v>
      </c>
      <c r="E500" t="str" cm="1">
        <f t="array" ref="E500">_xlfn.IFS(IFERROR(FIND("M-3SII",B500),-1)&gt;0,"J_M3S2",IFERROR(FIND("M-V",B500),-1)&gt;0,"J_M5",IFERROR(FIND("M-4S",B500),-1)&gt;0,"J_M4S",IFERROR(FIND("M-3C",B500),-1)&gt;0,"J_M3C",IFERROR(FIND("M-3S",B500),-1)&gt;0,"J_M3S",IFERROR(FIND("M-3H",B500),-1)&gt;0,"J_M3H",IFERROR(FIND("H-IIA",B500),-1)&gt;0,"J_H2A",IFERROR(FIND("H-IIB",B500),-1)&gt;0,"J_H2B",IFERROR(FIND("H-II",B500),-1)&gt;0,"J_H2",IFERROR(FIND("H-I",B500),-1)&gt;0,"J_H1",IFERROR(FIND("N-II",B500),-1)&gt;0,"J_N2",IFERROR(FIND("N-I",B500),-1)&gt;0,"J_N1",IFERROR(FIND("イプシロン",B500),-1)&gt;0,"J_E",TRUE,"")</f>
        <v/>
      </c>
      <c r="G500" t="str">
        <f t="shared" si="27"/>
        <v/>
      </c>
    </row>
    <row r="501" spans="1:9" ht="27" x14ac:dyDescent="0.15">
      <c r="A501" s="1" t="s">
        <v>935</v>
      </c>
      <c r="B501" s="2" t="s">
        <v>423</v>
      </c>
      <c r="C501">
        <f t="shared" si="26"/>
        <v>106</v>
      </c>
      <c r="D501" t="s">
        <v>1366</v>
      </c>
      <c r="E501" t="str" cm="1">
        <f t="array" ref="E501">_xlfn.IFS(IFERROR(FIND("M-3SII",B501),-1)&gt;0,"J_M3S2",IFERROR(FIND("M-V",B501),-1)&gt;0,"J_M5",IFERROR(FIND("M-4S",B501),-1)&gt;0,"J_M4S",IFERROR(FIND("M-3C",B501),-1)&gt;0,"J_M3C",IFERROR(FIND("M-3S",B501),-1)&gt;0,"J_M3S",IFERROR(FIND("M-3H",B501),-1)&gt;0,"J_M3H",IFERROR(FIND("H-IIA",B501),-1)&gt;0,"J_H2A",IFERROR(FIND("H-IIB",B501),-1)&gt;0,"J_H2B",IFERROR(FIND("H-II",B501),-1)&gt;0,"J_H2",IFERROR(FIND("H-I",B501),-1)&gt;0,"J_H1",IFERROR(FIND("N-II",B501),-1)&gt;0,"J_N2",IFERROR(FIND("N-I",B501),-1)&gt;0,"J_N1",IFERROR(FIND("イプシロン",B501),-1)&gt;0,"J_E",TRUE,"")</f>
        <v/>
      </c>
      <c r="G501" t="str">
        <f t="shared" si="27"/>
        <v/>
      </c>
    </row>
    <row r="502" spans="1:9" ht="27" x14ac:dyDescent="0.15">
      <c r="A502" s="1" t="s">
        <v>936</v>
      </c>
      <c r="B502" s="2" t="s">
        <v>424</v>
      </c>
      <c r="C502">
        <f t="shared" si="26"/>
        <v>112</v>
      </c>
      <c r="D502" t="s">
        <v>1367</v>
      </c>
      <c r="E502" t="str" cm="1">
        <f t="array" ref="E502">_xlfn.IFS(IFERROR(FIND("M-3SII",B502),-1)&gt;0,"J_M3S2",IFERROR(FIND("M-V",B502),-1)&gt;0,"J_M5",IFERROR(FIND("M-4S",B502),-1)&gt;0,"J_M4S",IFERROR(FIND("M-3C",B502),-1)&gt;0,"J_M3C",IFERROR(FIND("M-3S",B502),-1)&gt;0,"J_M3S",IFERROR(FIND("M-3H",B502),-1)&gt;0,"J_M3H",IFERROR(FIND("H-IIA",B502),-1)&gt;0,"J_H2A",IFERROR(FIND("H-IIB",B502),-1)&gt;0,"J_H2B",IFERROR(FIND("H-II",B502),-1)&gt;0,"J_H2",IFERROR(FIND("H-I",B502),-1)&gt;0,"J_H1",IFERROR(FIND("N-II",B502),-1)&gt;0,"J_N2",IFERROR(FIND("N-I",B502),-1)&gt;0,"J_N1",IFERROR(FIND("イプシロン",B502),-1)&gt;0,"J_E",TRUE,"")</f>
        <v/>
      </c>
      <c r="G502" t="str">
        <f t="shared" si="27"/>
        <v/>
      </c>
    </row>
    <row r="503" spans="1:9" ht="27" x14ac:dyDescent="0.15">
      <c r="A503" s="1" t="s">
        <v>937</v>
      </c>
      <c r="B503" s="2" t="s">
        <v>425</v>
      </c>
      <c r="C503">
        <f t="shared" si="26"/>
        <v>91</v>
      </c>
      <c r="D503" t="s">
        <v>1368</v>
      </c>
      <c r="E503" t="str" cm="1">
        <f t="array" ref="E503">_xlfn.IFS(IFERROR(FIND("M-3SII",B503),-1)&gt;0,"J_M3S2",IFERROR(FIND("M-V",B503),-1)&gt;0,"J_M5",IFERROR(FIND("M-4S",B503),-1)&gt;0,"J_M4S",IFERROR(FIND("M-3C",B503),-1)&gt;0,"J_M3C",IFERROR(FIND("M-3S",B503),-1)&gt;0,"J_M3S",IFERROR(FIND("M-3H",B503),-1)&gt;0,"J_M3H",IFERROR(FIND("H-IIA",B503),-1)&gt;0,"J_H2A",IFERROR(FIND("H-IIB",B503),-1)&gt;0,"J_H2B",IFERROR(FIND("H-II",B503),-1)&gt;0,"J_H2",IFERROR(FIND("H-I",B503),-1)&gt;0,"J_H1",IFERROR(FIND("N-II",B503),-1)&gt;0,"J_N2",IFERROR(FIND("N-I",B503),-1)&gt;0,"J_N1",IFERROR(FIND("イプシロン",B503),-1)&gt;0,"J_E",TRUE,"")</f>
        <v/>
      </c>
      <c r="G503" t="str">
        <f t="shared" si="27"/>
        <v/>
      </c>
    </row>
    <row r="504" spans="1:9" ht="27" x14ac:dyDescent="0.15">
      <c r="A504" s="1" t="s">
        <v>938</v>
      </c>
      <c r="B504" s="2" t="s">
        <v>426</v>
      </c>
      <c r="C504">
        <f t="shared" si="26"/>
        <v>92</v>
      </c>
      <c r="D504" t="s">
        <v>1369</v>
      </c>
      <c r="E504" t="str" cm="1">
        <f t="array" ref="E504">_xlfn.IFS(IFERROR(FIND("M-3SII",B504),-1)&gt;0,"J_M3S2",IFERROR(FIND("M-V",B504),-1)&gt;0,"J_M5",IFERROR(FIND("M-4S",B504),-1)&gt;0,"J_M4S",IFERROR(FIND("M-3C",B504),-1)&gt;0,"J_M3C",IFERROR(FIND("M-3S",B504),-1)&gt;0,"J_M3S",IFERROR(FIND("M-3H",B504),-1)&gt;0,"J_M3H",IFERROR(FIND("H-IIA",B504),-1)&gt;0,"J_H2A",IFERROR(FIND("H-IIB",B504),-1)&gt;0,"J_H2B",IFERROR(FIND("H-II",B504),-1)&gt;0,"J_H2",IFERROR(FIND("H-I",B504),-1)&gt;0,"J_H1",IFERROR(FIND("N-II",B504),-1)&gt;0,"J_N2",IFERROR(FIND("N-I",B504),-1)&gt;0,"J_N1",IFERROR(FIND("イプシロン",B504),-1)&gt;0,"J_E",TRUE,"")</f>
        <v/>
      </c>
      <c r="G504" t="str">
        <f t="shared" si="27"/>
        <v/>
      </c>
    </row>
    <row r="505" spans="1:9" ht="27" x14ac:dyDescent="0.15">
      <c r="A505" s="1" t="s">
        <v>939</v>
      </c>
      <c r="B505" s="2" t="s">
        <v>427</v>
      </c>
      <c r="C505">
        <f t="shared" si="26"/>
        <v>71</v>
      </c>
      <c r="D505" t="s">
        <v>1370</v>
      </c>
      <c r="E505" t="str" cm="1">
        <f t="array" ref="E505">_xlfn.IFS(IFERROR(FIND("M-3SII",B505),-1)&gt;0,"J_M3S2",IFERROR(FIND("M-V",B505),-1)&gt;0,"J_M5",IFERROR(FIND("M-4S",B505),-1)&gt;0,"J_M4S",IFERROR(FIND("M-3C",B505),-1)&gt;0,"J_M3C",IFERROR(FIND("M-3S",B505),-1)&gt;0,"J_M3S",IFERROR(FIND("M-3H",B505),-1)&gt;0,"J_M3H",IFERROR(FIND("H-IIA",B505),-1)&gt;0,"J_H2A",IFERROR(FIND("H-IIB",B505),-1)&gt;0,"J_H2B",IFERROR(FIND("H-II",B505),-1)&gt;0,"J_H2",IFERROR(FIND("H-I",B505),-1)&gt;0,"J_H1",IFERROR(FIND("N-II",B505),-1)&gt;0,"J_N2",IFERROR(FIND("N-I",B505),-1)&gt;0,"J_N1",IFERROR(FIND("イプシロン",B505),-1)&gt;0,"J_E",TRUE,"")</f>
        <v/>
      </c>
      <c r="G505" t="str">
        <f t="shared" si="27"/>
        <v/>
      </c>
    </row>
    <row r="506" spans="1:9" ht="27" x14ac:dyDescent="0.15">
      <c r="A506" s="1" t="s">
        <v>940</v>
      </c>
      <c r="B506" s="2" t="s">
        <v>428</v>
      </c>
      <c r="C506">
        <f t="shared" si="26"/>
        <v>98</v>
      </c>
      <c r="D506" t="s">
        <v>1371</v>
      </c>
      <c r="E506" t="str" cm="1">
        <f t="array" ref="E506">_xlfn.IFS(IFERROR(FIND("M-3SII",B506),-1)&gt;0,"J_M3S2",IFERROR(FIND("M-V",B506),-1)&gt;0,"J_M5",IFERROR(FIND("M-4S",B506),-1)&gt;0,"J_M4S",IFERROR(FIND("M-3C",B506),-1)&gt;0,"J_M3C",IFERROR(FIND("M-3S",B506),-1)&gt;0,"J_M3S",IFERROR(FIND("M-3H",B506),-1)&gt;0,"J_M3H",IFERROR(FIND("H-IIA",B506),-1)&gt;0,"J_H2A",IFERROR(FIND("H-IIB",B506),-1)&gt;0,"J_H2B",IFERROR(FIND("H-II",B506),-1)&gt;0,"J_H2",IFERROR(FIND("H-I",B506),-1)&gt;0,"J_H1",IFERROR(FIND("N-II",B506),-1)&gt;0,"J_N2",IFERROR(FIND("N-I",B506),-1)&gt;0,"J_N1",IFERROR(FIND("イプシロン",B506),-1)&gt;0,"J_E",TRUE,"")</f>
        <v/>
      </c>
      <c r="G506" t="str">
        <f t="shared" si="27"/>
        <v/>
      </c>
    </row>
    <row r="507" spans="1:9" ht="27" x14ac:dyDescent="0.15">
      <c r="A507" s="1" t="s">
        <v>941</v>
      </c>
      <c r="B507" s="2" t="s">
        <v>429</v>
      </c>
      <c r="C507">
        <f t="shared" si="26"/>
        <v>94</v>
      </c>
      <c r="D507" t="s">
        <v>1372</v>
      </c>
      <c r="E507" t="str" cm="1">
        <f t="array" ref="E507">_xlfn.IFS(IFERROR(FIND("M-3SII",B507),-1)&gt;0,"J_M3S2",IFERROR(FIND("M-V",B507),-1)&gt;0,"J_M5",IFERROR(FIND("M-4S",B507),-1)&gt;0,"J_M4S",IFERROR(FIND("M-3C",B507),-1)&gt;0,"J_M3C",IFERROR(FIND("M-3S",B507),-1)&gt;0,"J_M3S",IFERROR(FIND("M-3H",B507),-1)&gt;0,"J_M3H",IFERROR(FIND("H-IIA",B507),-1)&gt;0,"J_H2A",IFERROR(FIND("H-IIB",B507),-1)&gt;0,"J_H2B",IFERROR(FIND("H-II",B507),-1)&gt;0,"J_H2",IFERROR(FIND("H-I",B507),-1)&gt;0,"J_H1",IFERROR(FIND("N-II",B507),-1)&gt;0,"J_N2",IFERROR(FIND("N-I",B507),-1)&gt;0,"J_N1",IFERROR(FIND("イプシロン",B507),-1)&gt;0,"J_E",TRUE,"")</f>
        <v/>
      </c>
      <c r="G507" t="str">
        <f t="shared" si="27"/>
        <v/>
      </c>
    </row>
    <row r="508" spans="1:9" ht="27" x14ac:dyDescent="0.15">
      <c r="A508" s="1" t="s">
        <v>942</v>
      </c>
      <c r="B508" s="2" t="s">
        <v>430</v>
      </c>
      <c r="C508">
        <f t="shared" si="26"/>
        <v>102</v>
      </c>
      <c r="D508" t="s">
        <v>1373</v>
      </c>
      <c r="E508" t="str" cm="1">
        <f t="array" ref="E508">_xlfn.IFS(IFERROR(FIND("M-3SII",B508),-1)&gt;0,"J_M3S2",IFERROR(FIND("M-V",B508),-1)&gt;0,"J_M5",IFERROR(FIND("M-4S",B508),-1)&gt;0,"J_M4S",IFERROR(FIND("M-3C",B508),-1)&gt;0,"J_M3C",IFERROR(FIND("M-3S",B508),-1)&gt;0,"J_M3S",IFERROR(FIND("M-3H",B508),-1)&gt;0,"J_M3H",IFERROR(FIND("H-IIA",B508),-1)&gt;0,"J_H2A",IFERROR(FIND("H-IIB",B508),-1)&gt;0,"J_H2B",IFERROR(FIND("H-II",B508),-1)&gt;0,"J_H2",IFERROR(FIND("H-I",B508),-1)&gt;0,"J_H1",IFERROR(FIND("N-II",B508),-1)&gt;0,"J_N2",IFERROR(FIND("N-I",B508),-1)&gt;0,"J_N1",IFERROR(FIND("イプシロン",B508),-1)&gt;0,"J_E",TRUE,"")</f>
        <v/>
      </c>
      <c r="G508" t="str">
        <f t="shared" si="27"/>
        <v/>
      </c>
    </row>
    <row r="509" spans="1:9" ht="27" x14ac:dyDescent="0.15">
      <c r="A509" s="1" t="s">
        <v>944</v>
      </c>
      <c r="B509" s="2" t="s">
        <v>432</v>
      </c>
      <c r="C509">
        <f t="shared" si="26"/>
        <v>117</v>
      </c>
      <c r="D509" t="s">
        <v>1375</v>
      </c>
      <c r="E509" t="s">
        <v>1601</v>
      </c>
      <c r="F509">
        <v>6</v>
      </c>
      <c r="G509" t="str">
        <f t="shared" si="27"/>
        <v>J_H2_6</v>
      </c>
    </row>
    <row r="510" spans="1:9" ht="27" x14ac:dyDescent="0.15">
      <c r="A510" s="1" t="s">
        <v>943</v>
      </c>
      <c r="B510" s="2" t="s">
        <v>431</v>
      </c>
      <c r="C510">
        <f t="shared" si="26"/>
        <v>71</v>
      </c>
      <c r="D510" t="s">
        <v>1565</v>
      </c>
      <c r="E510" t="str" cm="1">
        <f t="array" ref="E510">_xlfn.IFS(IFERROR(FIND("M-3SII",B510),-1)&gt;0,"J_M3S2",IFERROR(FIND("M-V",B510),-1)&gt;0,"J_M5",IFERROR(FIND("M-4S",B510),-1)&gt;0,"J_M4S",IFERROR(FIND("M-3C",B510),-1)&gt;0,"J_M3C",IFERROR(FIND("M-3S",B510),-1)&gt;0,"J_M3S",IFERROR(FIND("M-3H",B510),-1)&gt;0,"J_M3H",IFERROR(FIND("H-IIA",B510),-1)&gt;0,"J_H2A",IFERROR(FIND("H-IIB",B510),-1)&gt;0,"J_H2B",IFERROR(FIND("H-II",B510),-1)&gt;0,"J_H2",IFERROR(FIND("H-I",B510),-1)&gt;0,"J_H1",IFERROR(FIND("N-II",B510),-1)&gt;0,"J_N2",IFERROR(FIND("N-I",B510),-1)&gt;0,"J_N1",IFERROR(FIND("イプシロン",B510),-1)&gt;0,"J_E",TRUE,"")</f>
        <v>J_H2</v>
      </c>
      <c r="F510">
        <v>6</v>
      </c>
      <c r="G510" t="str">
        <f t="shared" si="27"/>
        <v>J_H2_6</v>
      </c>
    </row>
    <row r="511" spans="1:9" ht="40.5" x14ac:dyDescent="0.15">
      <c r="A511" s="1" t="s">
        <v>945</v>
      </c>
      <c r="B511" s="2" t="s">
        <v>993</v>
      </c>
      <c r="C511">
        <f t="shared" si="26"/>
        <v>135</v>
      </c>
      <c r="D511" t="s">
        <v>1566</v>
      </c>
      <c r="E511" t="s">
        <v>1601</v>
      </c>
      <c r="F511">
        <v>6</v>
      </c>
      <c r="G511" t="str">
        <f t="shared" si="27"/>
        <v>J_H2_6</v>
      </c>
      <c r="H511">
        <v>20170515</v>
      </c>
      <c r="I511" t="s">
        <v>1004</v>
      </c>
    </row>
    <row r="512" spans="1:9" ht="40.5" x14ac:dyDescent="0.15">
      <c r="A512" s="1" t="s">
        <v>947</v>
      </c>
      <c r="B512" s="2" t="s">
        <v>1614</v>
      </c>
      <c r="C512">
        <f t="shared" si="26"/>
        <v>166</v>
      </c>
      <c r="D512" t="s">
        <v>1374</v>
      </c>
      <c r="E512" t="str" cm="1">
        <f t="array" ref="E512">_xlfn.IFS(IFERROR(FIND("M-3SII",B512),-1)&gt;0,"J_M3S2",IFERROR(FIND("M-V",B512),-1)&gt;0,"J_M5",IFERROR(FIND("M-4S",B512),-1)&gt;0,"J_M4S",IFERROR(FIND("M-3C",B512),-1)&gt;0,"J_M3C",IFERROR(FIND("M-3S",B512),-1)&gt;0,"J_M3S",IFERROR(FIND("M-3H",B512),-1)&gt;0,"J_M3H",IFERROR(FIND("H-IIA",B512),-1)&gt;0,"J_H2A",IFERROR(FIND("H-IIB",B512),-1)&gt;0,"J_H2B",IFERROR(FIND("H-II",B512),-1)&gt;0,"J_H2",IFERROR(FIND("H-I",B512),-1)&gt;0,"J_H1",IFERROR(FIND("N-II",B512),-1)&gt;0,"J_N2",IFERROR(FIND("N-I",B512),-1)&gt;0,"J_N1",IFERROR(FIND("イプシロン",B512),-1)&gt;0,"J_E",TRUE,"")</f>
        <v>J_H2A</v>
      </c>
      <c r="F512">
        <v>16</v>
      </c>
      <c r="G512" t="str">
        <f t="shared" si="27"/>
        <v>J_H2A_16</v>
      </c>
      <c r="H512">
        <v>20170920</v>
      </c>
      <c r="I512" t="s">
        <v>1015</v>
      </c>
    </row>
    <row r="513" spans="1:11" x14ac:dyDescent="0.15">
      <c r="A513" s="1" t="s">
        <v>946</v>
      </c>
      <c r="B513" s="2" t="s">
        <v>433</v>
      </c>
      <c r="C513">
        <f t="shared" si="26"/>
        <v>65</v>
      </c>
      <c r="D513" t="s">
        <v>1567</v>
      </c>
      <c r="E513" t="str" cm="1">
        <f t="array" ref="E513">_xlfn.IFS(IFERROR(FIND("M-3SII",B513),-1)&gt;0,"J_M3S2",IFERROR(FIND("M-V",B513),-1)&gt;0,"J_M5",IFERROR(FIND("M-4S",B513),-1)&gt;0,"J_M4S",IFERROR(FIND("M-3C",B513),-1)&gt;0,"J_M3C",IFERROR(FIND("M-3S",B513),-1)&gt;0,"J_M3S",IFERROR(FIND("M-3H",B513),-1)&gt;0,"J_M3H",IFERROR(FIND("H-IIA",B513),-1)&gt;0,"J_H2A",IFERROR(FIND("H-IIB",B513),-1)&gt;0,"J_H2B",IFERROR(FIND("H-II",B513),-1)&gt;0,"J_H2",IFERROR(FIND("H-I",B513),-1)&gt;0,"J_H1",IFERROR(FIND("N-II",B513),-1)&gt;0,"J_N2",IFERROR(FIND("N-I",B513),-1)&gt;0,"J_N1",IFERROR(FIND("イプシロン",B513),-1)&gt;0,"J_E",TRUE,"")</f>
        <v>J_H2A</v>
      </c>
      <c r="F513">
        <v>16</v>
      </c>
      <c r="G513" t="str">
        <f t="shared" si="27"/>
        <v>J_H2A_16</v>
      </c>
    </row>
    <row r="514" spans="1:11" ht="27" x14ac:dyDescent="0.15">
      <c r="A514" s="1" t="s">
        <v>949</v>
      </c>
      <c r="B514" s="2" t="s">
        <v>435</v>
      </c>
      <c r="C514">
        <f t="shared" si="26"/>
        <v>119</v>
      </c>
      <c r="D514" t="s">
        <v>1376</v>
      </c>
      <c r="E514" t="str" cm="1">
        <f t="array" ref="E514">_xlfn.IFS(IFERROR(FIND("M-3SII",B514),-1)&gt;0,"J_M3S2",IFERROR(FIND("M-V",B514),-1)&gt;0,"J_M5",IFERROR(FIND("M-4S",B514),-1)&gt;0,"J_M4S",IFERROR(FIND("M-3C",B514),-1)&gt;0,"J_M3C",IFERROR(FIND("M-3S",B514),-1)&gt;0,"J_M3S",IFERROR(FIND("M-3H",B514),-1)&gt;0,"J_M3H",IFERROR(FIND("H-IIA",B514),-1)&gt;0,"J_H2A",IFERROR(FIND("H-IIB",B514),-1)&gt;0,"J_H2B",IFERROR(FIND("H-II",B514),-1)&gt;0,"J_H2",IFERROR(FIND("H-I",B514),-1)&gt;0,"J_H1",IFERROR(FIND("N-II",B514),-1)&gt;0,"J_N2",IFERROR(FIND("N-I",B514),-1)&gt;0,"J_N1",IFERROR(FIND("イプシロン",B514),-1)&gt;0,"J_E",TRUE,"")</f>
        <v>J_H2A</v>
      </c>
      <c r="F514">
        <v>6</v>
      </c>
      <c r="G514" t="str">
        <f t="shared" si="27"/>
        <v>J_H2A_6</v>
      </c>
    </row>
    <row r="515" spans="1:11" ht="27" x14ac:dyDescent="0.15">
      <c r="A515" s="1" t="s">
        <v>948</v>
      </c>
      <c r="B515" s="2" t="s">
        <v>434</v>
      </c>
      <c r="C515">
        <f t="shared" si="26"/>
        <v>117</v>
      </c>
      <c r="D515" t="s">
        <v>1568</v>
      </c>
      <c r="E515" t="str" cm="1">
        <f t="array" ref="E515">_xlfn.IFS(IFERROR(FIND("M-3SII",B515),-1)&gt;0,"J_M3S2",IFERROR(FIND("M-V",B515),-1)&gt;0,"J_M5",IFERROR(FIND("M-4S",B515),-1)&gt;0,"J_M4S",IFERROR(FIND("M-3C",B515),-1)&gt;0,"J_M3C",IFERROR(FIND("M-3S",B515),-1)&gt;0,"J_M3S",IFERROR(FIND("M-3H",B515),-1)&gt;0,"J_M3H",IFERROR(FIND("H-IIA",B515),-1)&gt;0,"J_H2A",IFERROR(FIND("H-IIB",B515),-1)&gt;0,"J_H2B",IFERROR(FIND("H-II",B515),-1)&gt;0,"J_H2",IFERROR(FIND("H-I",B515),-1)&gt;0,"J_H1",IFERROR(FIND("N-II",B515),-1)&gt;0,"J_N2",IFERROR(FIND("N-I",B515),-1)&gt;0,"J_N1",IFERROR(FIND("イプシロン",B515),-1)&gt;0,"J_E",TRUE,"")</f>
        <v>J_H2A</v>
      </c>
      <c r="F515">
        <v>6</v>
      </c>
      <c r="G515" t="str">
        <f t="shared" si="27"/>
        <v>J_H2A_6</v>
      </c>
    </row>
    <row r="516" spans="1:11" ht="27" x14ac:dyDescent="0.15">
      <c r="A516" s="1" t="s">
        <v>950</v>
      </c>
      <c r="B516" s="2" t="s">
        <v>436</v>
      </c>
      <c r="C516">
        <f t="shared" si="26"/>
        <v>99</v>
      </c>
      <c r="D516" t="s">
        <v>1377</v>
      </c>
      <c r="E516" t="str" cm="1">
        <f t="array" ref="E516">_xlfn.IFS(IFERROR(FIND("M-3SII",B516),-1)&gt;0,"J_M3S2",IFERROR(FIND("M-V",B516),-1)&gt;0,"J_M5",IFERROR(FIND("M-4S",B516),-1)&gt;0,"J_M4S",IFERROR(FIND("M-3C",B516),-1)&gt;0,"J_M3C",IFERROR(FIND("M-3S",B516),-1)&gt;0,"J_M3S",IFERROR(FIND("M-3H",B516),-1)&gt;0,"J_M3H",IFERROR(FIND("H-IIA",B516),-1)&gt;0,"J_H2A",IFERROR(FIND("H-IIB",B516),-1)&gt;0,"J_H2B",IFERROR(FIND("H-II",B516),-1)&gt;0,"J_H2",IFERROR(FIND("H-I",B516),-1)&gt;0,"J_H1",IFERROR(FIND("N-II",B516),-1)&gt;0,"J_N2",IFERROR(FIND("N-I",B516),-1)&gt;0,"J_N1",IFERROR(FIND("イプシロン",B516),-1)&gt;0,"J_E",TRUE,"")</f>
        <v/>
      </c>
      <c r="G516" t="str">
        <f t="shared" si="27"/>
        <v/>
      </c>
    </row>
    <row r="517" spans="1:11" ht="27" x14ac:dyDescent="0.15">
      <c r="A517" s="1" t="s">
        <v>951</v>
      </c>
      <c r="B517" s="2" t="s">
        <v>437</v>
      </c>
      <c r="C517">
        <f t="shared" si="26"/>
        <v>89</v>
      </c>
      <c r="D517" t="s">
        <v>1378</v>
      </c>
      <c r="E517" t="str" cm="1">
        <f t="array" ref="E517">_xlfn.IFS(IFERROR(FIND("M-3SII",B517),-1)&gt;0,"J_M3S2",IFERROR(FIND("M-V",B517),-1)&gt;0,"J_M5",IFERROR(FIND("M-4S",B517),-1)&gt;0,"J_M4S",IFERROR(FIND("M-3C",B517),-1)&gt;0,"J_M3C",IFERROR(FIND("M-3S",B517),-1)&gt;0,"J_M3S",IFERROR(FIND("M-3H",B517),-1)&gt;0,"J_M3H",IFERROR(FIND("H-IIA",B517),-1)&gt;0,"J_H2A",IFERROR(FIND("H-IIB",B517),-1)&gt;0,"J_H2B",IFERROR(FIND("H-II",B517),-1)&gt;0,"J_H2",IFERROR(FIND("H-I",B517),-1)&gt;0,"J_H1",IFERROR(FIND("N-II",B517),-1)&gt;0,"J_N2",IFERROR(FIND("N-I",B517),-1)&gt;0,"J_N1",IFERROR(FIND("イプシロン",B517),-1)&gt;0,"J_E",TRUE,"")</f>
        <v/>
      </c>
      <c r="G517" t="str">
        <f t="shared" si="27"/>
        <v/>
      </c>
    </row>
    <row r="518" spans="1:11" ht="27" x14ac:dyDescent="0.15">
      <c r="A518" s="1" t="s">
        <v>952</v>
      </c>
      <c r="B518" s="2" t="s">
        <v>438</v>
      </c>
      <c r="C518">
        <f t="shared" si="26"/>
        <v>103</v>
      </c>
      <c r="D518" t="s">
        <v>1379</v>
      </c>
      <c r="E518" t="str" cm="1">
        <f t="array" ref="E518">_xlfn.IFS(IFERROR(FIND("M-3SII",B518),-1)&gt;0,"J_M3S2",IFERROR(FIND("M-V",B518),-1)&gt;0,"J_M5",IFERROR(FIND("M-4S",B518),-1)&gt;0,"J_M4S",IFERROR(FIND("M-3C",B518),-1)&gt;0,"J_M3C",IFERROR(FIND("M-3S",B518),-1)&gt;0,"J_M3S",IFERROR(FIND("M-3H",B518),-1)&gt;0,"J_M3H",IFERROR(FIND("H-IIA",B518),-1)&gt;0,"J_H2A",IFERROR(FIND("H-IIB",B518),-1)&gt;0,"J_H2B",IFERROR(FIND("H-II",B518),-1)&gt;0,"J_H2",IFERROR(FIND("H-I",B518),-1)&gt;0,"J_H1",IFERROR(FIND("N-II",B518),-1)&gt;0,"J_N2",IFERROR(FIND("N-I",B518),-1)&gt;0,"J_N1",IFERROR(FIND("イプシロン",B518),-1)&gt;0,"J_E",TRUE,"")</f>
        <v/>
      </c>
      <c r="G518" t="str">
        <f t="shared" si="27"/>
        <v/>
      </c>
    </row>
    <row r="519" spans="1:11" ht="27" x14ac:dyDescent="0.15">
      <c r="A519" s="1" t="s">
        <v>953</v>
      </c>
      <c r="B519" s="2" t="s">
        <v>1031</v>
      </c>
      <c r="C519">
        <f t="shared" si="26"/>
        <v>125</v>
      </c>
      <c r="D519" t="s">
        <v>1380</v>
      </c>
      <c r="E519" t="s">
        <v>1602</v>
      </c>
      <c r="F519">
        <v>26</v>
      </c>
      <c r="G519" t="str">
        <f t="shared" si="27"/>
        <v>J_H2A_26</v>
      </c>
      <c r="H519">
        <v>20210217</v>
      </c>
      <c r="I519" t="s">
        <v>1029</v>
      </c>
      <c r="K519" s="4"/>
    </row>
    <row r="520" spans="1:11" x14ac:dyDescent="0.15">
      <c r="A520" s="1" t="s">
        <v>1636</v>
      </c>
      <c r="B520" s="2" t="s">
        <v>1637</v>
      </c>
      <c r="C520">
        <f t="shared" si="26"/>
        <v>62</v>
      </c>
      <c r="D520" t="s">
        <v>1639</v>
      </c>
      <c r="E520" t="s">
        <v>1602</v>
      </c>
      <c r="F520">
        <v>26</v>
      </c>
      <c r="G520" t="str">
        <f t="shared" ref="G520" si="30">IF(E520&lt;&gt;"",E520&amp;"_"&amp;F520,"")</f>
        <v>J_H2A_26</v>
      </c>
      <c r="H520">
        <v>20240225</v>
      </c>
      <c r="I520" t="s">
        <v>1007</v>
      </c>
      <c r="K520" s="4"/>
    </row>
    <row r="521" spans="1:11" ht="27" x14ac:dyDescent="0.15">
      <c r="A521" s="1" t="s">
        <v>1034</v>
      </c>
      <c r="B521" s="2" t="s">
        <v>1915</v>
      </c>
      <c r="C521">
        <f t="shared" si="26"/>
        <v>66</v>
      </c>
      <c r="D521" t="s">
        <v>1610</v>
      </c>
      <c r="E521" t="s">
        <v>1602</v>
      </c>
      <c r="F521">
        <v>26</v>
      </c>
      <c r="G521" t="str">
        <f t="shared" si="27"/>
        <v>J_H2A_26</v>
      </c>
      <c r="H521">
        <v>20260611</v>
      </c>
      <c r="I521" t="s">
        <v>1004</v>
      </c>
      <c r="J521" t="s">
        <v>1914</v>
      </c>
    </row>
    <row r="522" spans="1:11" ht="27" x14ac:dyDescent="0.15">
      <c r="A522" s="1" t="s">
        <v>1035</v>
      </c>
      <c r="B522" s="2" t="s">
        <v>1916</v>
      </c>
      <c r="C522">
        <f t="shared" si="26"/>
        <v>89</v>
      </c>
      <c r="D522" t="s">
        <v>1611</v>
      </c>
      <c r="E522" t="s">
        <v>1602</v>
      </c>
      <c r="F522">
        <v>26</v>
      </c>
      <c r="G522" t="str">
        <f t="shared" si="27"/>
        <v>J_H2A_26</v>
      </c>
      <c r="H522">
        <v>20260611</v>
      </c>
      <c r="I522" t="s">
        <v>1004</v>
      </c>
      <c r="J522" t="s">
        <v>1914</v>
      </c>
    </row>
    <row r="523" spans="1:11" x14ac:dyDescent="0.15">
      <c r="A523" s="1" t="s">
        <v>1033</v>
      </c>
      <c r="B523" s="2" t="s">
        <v>1917</v>
      </c>
      <c r="C523">
        <f t="shared" si="26"/>
        <v>58</v>
      </c>
      <c r="D523" t="s">
        <v>1612</v>
      </c>
      <c r="E523" t="s">
        <v>1602</v>
      </c>
      <c r="F523">
        <v>26</v>
      </c>
      <c r="G523" t="str">
        <f t="shared" si="27"/>
        <v>J_H2A_26</v>
      </c>
      <c r="H523">
        <v>20260611</v>
      </c>
      <c r="I523" t="s">
        <v>1004</v>
      </c>
      <c r="J523" t="s">
        <v>1914</v>
      </c>
    </row>
    <row r="524" spans="1:11" ht="27" x14ac:dyDescent="0.15">
      <c r="A524" s="1" t="s">
        <v>1028</v>
      </c>
      <c r="B524" s="2" t="s">
        <v>1030</v>
      </c>
      <c r="C524">
        <f t="shared" si="26"/>
        <v>92</v>
      </c>
      <c r="D524" t="s">
        <v>1569</v>
      </c>
      <c r="E524" t="str" cm="1">
        <f t="array" ref="E524">_xlfn.IFS(IFERROR(FIND("M-3SII",B524),-1)&gt;0,"J_M3S2",IFERROR(FIND("M-V",B524),-1)&gt;0,"J_M5",IFERROR(FIND("M-4S",B524),-1)&gt;0,"J_M4S",IFERROR(FIND("M-3C",B524),-1)&gt;0,"J_M3C",IFERROR(FIND("M-3S",B524),-1)&gt;0,"J_M3S",IFERROR(FIND("M-3H",B524),-1)&gt;0,"J_M3H",IFERROR(FIND("H-IIA",B524),-1)&gt;0,"J_H2A",IFERROR(FIND("H-IIB",B524),-1)&gt;0,"J_H2B",IFERROR(FIND("H-II",B524),-1)&gt;0,"J_H2",IFERROR(FIND("H-I",B524),-1)&gt;0,"J_H1",IFERROR(FIND("N-II",B524),-1)&gt;0,"J_N2",IFERROR(FIND("N-I",B524),-1)&gt;0,"J_N1",IFERROR(FIND("イプシロン",B524),-1)&gt;0,"J_E",TRUE,"")</f>
        <v/>
      </c>
      <c r="G524" t="str">
        <f t="shared" si="27"/>
        <v/>
      </c>
    </row>
    <row r="525" spans="1:11" ht="27" x14ac:dyDescent="0.15">
      <c r="A525" s="1" t="s">
        <v>954</v>
      </c>
      <c r="B525" s="2" t="s">
        <v>439</v>
      </c>
      <c r="C525">
        <f t="shared" si="26"/>
        <v>75</v>
      </c>
      <c r="D525" t="s">
        <v>1381</v>
      </c>
      <c r="E525" t="str" cm="1">
        <f t="array" ref="E525">_xlfn.IFS(IFERROR(FIND("M-3SII",B525),-1)&gt;0,"J_M3S2",IFERROR(FIND("M-V",B525),-1)&gt;0,"J_M5",IFERROR(FIND("M-4S",B525),-1)&gt;0,"J_M4S",IFERROR(FIND("M-3C",B525),-1)&gt;0,"J_M3C",IFERROR(FIND("M-3S",B525),-1)&gt;0,"J_M3S",IFERROR(FIND("M-3H",B525),-1)&gt;0,"J_M3H",IFERROR(FIND("H-IIA",B525),-1)&gt;0,"J_H2A",IFERROR(FIND("H-IIB",B525),-1)&gt;0,"J_H2B",IFERROR(FIND("H-II",B525),-1)&gt;0,"J_H2",IFERROR(FIND("H-I",B525),-1)&gt;0,"J_H1",IFERROR(FIND("N-II",B525),-1)&gt;0,"J_N2",IFERROR(FIND("N-I",B525),-1)&gt;0,"J_N1",IFERROR(FIND("イプシロン",B525),-1)&gt;0,"J_E",TRUE,"")</f>
        <v/>
      </c>
      <c r="G525" t="str">
        <f t="shared" si="27"/>
        <v/>
      </c>
    </row>
    <row r="526" spans="1:11" ht="27" x14ac:dyDescent="0.15">
      <c r="A526" s="1" t="s">
        <v>955</v>
      </c>
      <c r="B526" s="2" t="s">
        <v>440</v>
      </c>
      <c r="C526">
        <f t="shared" si="26"/>
        <v>105</v>
      </c>
      <c r="D526" t="s">
        <v>1382</v>
      </c>
      <c r="E526" t="str" cm="1">
        <f t="array" ref="E526">_xlfn.IFS(IFERROR(FIND("M-3SII",B526),-1)&gt;0,"J_M3S2",IFERROR(FIND("M-V",B526),-1)&gt;0,"J_M5",IFERROR(FIND("M-4S",B526),-1)&gt;0,"J_M4S",IFERROR(FIND("M-3C",B526),-1)&gt;0,"J_M3C",IFERROR(FIND("M-3S",B526),-1)&gt;0,"J_M3S",IFERROR(FIND("M-3H",B526),-1)&gt;0,"J_M3H",IFERROR(FIND("H-IIA",B526),-1)&gt;0,"J_H2A",IFERROR(FIND("H-IIB",B526),-1)&gt;0,"J_H2B",IFERROR(FIND("H-II",B526),-1)&gt;0,"J_H2",IFERROR(FIND("H-I",B526),-1)&gt;0,"J_H1",IFERROR(FIND("N-II",B526),-1)&gt;0,"J_N2",IFERROR(FIND("N-I",B526),-1)&gt;0,"J_N1",IFERROR(FIND("イプシロン",B526),-1)&gt;0,"J_E",TRUE,"")</f>
        <v/>
      </c>
      <c r="G526" t="str">
        <f t="shared" si="27"/>
        <v/>
      </c>
    </row>
    <row r="527" spans="1:11" ht="27" x14ac:dyDescent="0.15">
      <c r="A527" s="1" t="s">
        <v>956</v>
      </c>
      <c r="B527" s="2" t="s">
        <v>441</v>
      </c>
      <c r="C527">
        <f t="shared" si="26"/>
        <v>98</v>
      </c>
      <c r="D527" t="s">
        <v>1383</v>
      </c>
      <c r="E527" t="str" cm="1">
        <f t="array" ref="E527">_xlfn.IFS(IFERROR(FIND("M-3SII",B527),-1)&gt;0,"J_M3S2",IFERROR(FIND("M-V",B527),-1)&gt;0,"J_M5",IFERROR(FIND("M-4S",B527),-1)&gt;0,"J_M4S",IFERROR(FIND("M-3C",B527),-1)&gt;0,"J_M3C",IFERROR(FIND("M-3S",B527),-1)&gt;0,"J_M3S",IFERROR(FIND("M-3H",B527),-1)&gt;0,"J_M3H",IFERROR(FIND("H-IIA",B527),-1)&gt;0,"J_H2A",IFERROR(FIND("H-IIB",B527),-1)&gt;0,"J_H2B",IFERROR(FIND("H-II",B527),-1)&gt;0,"J_H2",IFERROR(FIND("H-I",B527),-1)&gt;0,"J_H1",IFERROR(FIND("N-II",B527),-1)&gt;0,"J_N2",IFERROR(FIND("N-I",B527),-1)&gt;0,"J_N1",IFERROR(FIND("イプシロン",B527),-1)&gt;0,"J_E",TRUE,"")</f>
        <v/>
      </c>
      <c r="G527" t="str">
        <f t="shared" si="27"/>
        <v/>
      </c>
    </row>
    <row r="528" spans="1:11" ht="40.5" x14ac:dyDescent="0.15">
      <c r="A528" s="1" t="s">
        <v>957</v>
      </c>
      <c r="B528" s="2" t="s">
        <v>1041</v>
      </c>
      <c r="C528">
        <f t="shared" si="26"/>
        <v>195</v>
      </c>
      <c r="D528" t="s">
        <v>1384</v>
      </c>
      <c r="E528" t="str" cm="1">
        <f t="array" ref="E528">_xlfn.IFS(IFERROR(FIND("M-3SII",B528),-1)&gt;0,"J_M3S2",IFERROR(FIND("M-V",B528),-1)&gt;0,"J_M5",IFERROR(FIND("M-4S",B528),-1)&gt;0,"J_M4S",IFERROR(FIND("M-3C",B528),-1)&gt;0,"J_M3C",IFERROR(FIND("M-3S",B528),-1)&gt;0,"J_M3S",IFERROR(FIND("M-3H",B528),-1)&gt;0,"J_M3H",IFERROR(FIND("H-IIA",B528),-1)&gt;0,"J_H2A",IFERROR(FIND("H-IIB",B528),-1)&gt;0,"J_H2B",IFERROR(FIND("H-II",B528),-1)&gt;0,"J_H2",IFERROR(FIND("H-I",B528),-1)&gt;0,"J_H1",IFERROR(FIND("N-II",B528),-1)&gt;0,"J_N2",IFERROR(FIND("N-I",B528),-1)&gt;0,"J_N1",IFERROR(FIND("イプシロン",B528),-1)&gt;0,"J_E",TRUE,"")</f>
        <v/>
      </c>
      <c r="G528" t="str">
        <f t="shared" si="27"/>
        <v/>
      </c>
      <c r="H528">
        <v>20230609</v>
      </c>
      <c r="I528" t="s">
        <v>1042</v>
      </c>
    </row>
    <row r="529" spans="1:9" ht="40.5" x14ac:dyDescent="0.15">
      <c r="A529" s="1" t="s">
        <v>958</v>
      </c>
      <c r="B529" s="2" t="s">
        <v>996</v>
      </c>
      <c r="C529">
        <f t="shared" si="26"/>
        <v>136</v>
      </c>
      <c r="D529" t="s">
        <v>1385</v>
      </c>
      <c r="E529" t="str" cm="1">
        <f t="array" ref="E529">_xlfn.IFS(IFERROR(FIND("M-3SII",B529),-1)&gt;0,"J_M3S2",IFERROR(FIND("M-V",B529),-1)&gt;0,"J_M5",IFERROR(FIND("M-4S",B529),-1)&gt;0,"J_M4S",IFERROR(FIND("M-3C",B529),-1)&gt;0,"J_M3C",IFERROR(FIND("M-3S",B529),-1)&gt;0,"J_M3S",IFERROR(FIND("M-3H",B529),-1)&gt;0,"J_M3H",IFERROR(FIND("H-IIA",B529),-1)&gt;0,"J_H2A",IFERROR(FIND("H-IIB",B529),-1)&gt;0,"J_H2B",IFERROR(FIND("H-II",B529),-1)&gt;0,"J_H2",IFERROR(FIND("H-I",B529),-1)&gt;0,"J_H1",IFERROR(FIND("N-II",B529),-1)&gt;0,"J_N2",IFERROR(FIND("N-I",B529),-1)&gt;0,"J_N1",IFERROR(FIND("イプシロン",B529),-1)&gt;0,"J_E",TRUE,"")</f>
        <v/>
      </c>
      <c r="G529" t="str">
        <f t="shared" si="27"/>
        <v/>
      </c>
      <c r="H529">
        <v>20170515</v>
      </c>
      <c r="I529" t="s">
        <v>1004</v>
      </c>
    </row>
    <row r="530" spans="1:9" ht="27" x14ac:dyDescent="0.15">
      <c r="A530" s="1" t="s">
        <v>959</v>
      </c>
      <c r="B530" s="2" t="s">
        <v>442</v>
      </c>
      <c r="C530">
        <f t="shared" si="26"/>
        <v>80</v>
      </c>
      <c r="D530" t="s">
        <v>1570</v>
      </c>
      <c r="E530" t="str" cm="1">
        <f t="array" ref="E530">_xlfn.IFS(IFERROR(FIND("M-3SII",B530),-1)&gt;0,"J_M3S2",IFERROR(FIND("M-V",B530),-1)&gt;0,"J_M5",IFERROR(FIND("M-4S",B530),-1)&gt;0,"J_M4S",IFERROR(FIND("M-3C",B530),-1)&gt;0,"J_M3C",IFERROR(FIND("M-3S",B530),-1)&gt;0,"J_M3S",IFERROR(FIND("M-3H",B530),-1)&gt;0,"J_M3H",IFERROR(FIND("H-IIA",B530),-1)&gt;0,"J_H2A",IFERROR(FIND("H-IIB",B530),-1)&gt;0,"J_H2B",IFERROR(FIND("H-II",B530),-1)&gt;0,"J_H2",IFERROR(FIND("H-I",B530),-1)&gt;0,"J_H1",IFERROR(FIND("N-II",B530),-1)&gt;0,"J_N2",IFERROR(FIND("N-I",B530),-1)&gt;0,"J_N1",IFERROR(FIND("イプシロン",B530),-1)&gt;0,"J_E",TRUE,"")</f>
        <v/>
      </c>
      <c r="G530" t="str">
        <f t="shared" si="27"/>
        <v/>
      </c>
    </row>
    <row r="531" spans="1:9" ht="27" x14ac:dyDescent="0.15">
      <c r="A531" s="1" t="s">
        <v>960</v>
      </c>
      <c r="B531" s="2" t="s">
        <v>443</v>
      </c>
      <c r="C531">
        <f t="shared" si="26"/>
        <v>97</v>
      </c>
      <c r="D531" t="s">
        <v>1386</v>
      </c>
      <c r="E531" t="str" cm="1">
        <f t="array" ref="E531">_xlfn.IFS(IFERROR(FIND("M-3SII",B531),-1)&gt;0,"J_M3S2",IFERROR(FIND("M-V",B531),-1)&gt;0,"J_M5",IFERROR(FIND("M-4S",B531),-1)&gt;0,"J_M4S",IFERROR(FIND("M-3C",B531),-1)&gt;0,"J_M3C",IFERROR(FIND("M-3S",B531),-1)&gt;0,"J_M3S",IFERROR(FIND("M-3H",B531),-1)&gt;0,"J_M3H",IFERROR(FIND("H-IIA",B531),-1)&gt;0,"J_H2A",IFERROR(FIND("H-IIB",B531),-1)&gt;0,"J_H2B",IFERROR(FIND("H-II",B531),-1)&gt;0,"J_H2",IFERROR(FIND("H-I",B531),-1)&gt;0,"J_H1",IFERROR(FIND("N-II",B531),-1)&gt;0,"J_N2",IFERROR(FIND("N-I",B531),-1)&gt;0,"J_N1",IFERROR(FIND("イプシロン",B531),-1)&gt;0,"J_E",TRUE,"")</f>
        <v/>
      </c>
      <c r="G531" t="str">
        <f t="shared" si="27"/>
        <v/>
      </c>
    </row>
    <row r="532" spans="1:9" ht="27" x14ac:dyDescent="0.15">
      <c r="A532" s="1" t="s">
        <v>961</v>
      </c>
      <c r="B532" s="2" t="s">
        <v>444</v>
      </c>
      <c r="C532">
        <f t="shared" si="26"/>
        <v>98</v>
      </c>
      <c r="D532" t="s">
        <v>1387</v>
      </c>
      <c r="E532" t="str" cm="1">
        <f t="array" ref="E532">_xlfn.IFS(IFERROR(FIND("M-3SII",B532),-1)&gt;0,"J_M3S2",IFERROR(FIND("M-V",B532),-1)&gt;0,"J_M5",IFERROR(FIND("M-4S",B532),-1)&gt;0,"J_M4S",IFERROR(FIND("M-3C",B532),-1)&gt;0,"J_M3C",IFERROR(FIND("M-3S",B532),-1)&gt;0,"J_M3S",IFERROR(FIND("M-3H",B532),-1)&gt;0,"J_M3H",IFERROR(FIND("H-IIA",B532),-1)&gt;0,"J_H2A",IFERROR(FIND("H-IIB",B532),-1)&gt;0,"J_H2B",IFERROR(FIND("H-II",B532),-1)&gt;0,"J_H2",IFERROR(FIND("H-I",B532),-1)&gt;0,"J_H1",IFERROR(FIND("N-II",B532),-1)&gt;0,"J_N2",IFERROR(FIND("N-I",B532),-1)&gt;0,"J_N1",IFERROR(FIND("イプシロン",B532),-1)&gt;0,"J_E",TRUE,"")</f>
        <v/>
      </c>
      <c r="G532" t="str">
        <f t="shared" si="27"/>
        <v/>
      </c>
    </row>
    <row r="533" spans="1:9" ht="27" x14ac:dyDescent="0.15">
      <c r="A533" s="1" t="s">
        <v>962</v>
      </c>
      <c r="B533" s="2" t="s">
        <v>445</v>
      </c>
      <c r="C533">
        <f t="shared" si="26"/>
        <v>116</v>
      </c>
      <c r="D533" t="s">
        <v>1388</v>
      </c>
      <c r="E533" t="str" cm="1">
        <f t="array" ref="E533">_xlfn.IFS(IFERROR(FIND("M-3SII",B533),-1)&gt;0,"J_M3S2",IFERROR(FIND("M-V",B533),-1)&gt;0,"J_M5",IFERROR(FIND("M-4S",B533),-1)&gt;0,"J_M4S",IFERROR(FIND("M-3C",B533),-1)&gt;0,"J_M3C",IFERROR(FIND("M-3S",B533),-1)&gt;0,"J_M3S",IFERROR(FIND("M-3H",B533),-1)&gt;0,"J_M3H",IFERROR(FIND("H-IIA",B533),-1)&gt;0,"J_H2A",IFERROR(FIND("H-IIB",B533),-1)&gt;0,"J_H2B",IFERROR(FIND("H-II",B533),-1)&gt;0,"J_H2",IFERROR(FIND("H-I",B533),-1)&gt;0,"J_H1",IFERROR(FIND("N-II",B533),-1)&gt;0,"J_N2",IFERROR(FIND("N-I",B533),-1)&gt;0,"J_N1",IFERROR(FIND("イプシロン",B533),-1)&gt;0,"J_E",TRUE,"")</f>
        <v/>
      </c>
      <c r="G533" t="str">
        <f t="shared" si="27"/>
        <v/>
      </c>
    </row>
    <row r="534" spans="1:9" ht="27" x14ac:dyDescent="0.15">
      <c r="A534" s="1" t="s">
        <v>963</v>
      </c>
      <c r="B534" s="2" t="s">
        <v>446</v>
      </c>
      <c r="C534">
        <f t="shared" si="26"/>
        <v>113</v>
      </c>
      <c r="D534" t="s">
        <v>1389</v>
      </c>
      <c r="E534" t="str" cm="1">
        <f t="array" ref="E534">_xlfn.IFS(IFERROR(FIND("M-3SII",B534),-1)&gt;0,"J_M3S2",IFERROR(FIND("M-V",B534),-1)&gt;0,"J_M5",IFERROR(FIND("M-4S",B534),-1)&gt;0,"J_M4S",IFERROR(FIND("M-3C",B534),-1)&gt;0,"J_M3C",IFERROR(FIND("M-3S",B534),-1)&gt;0,"J_M3S",IFERROR(FIND("M-3H",B534),-1)&gt;0,"J_M3H",IFERROR(FIND("H-IIA",B534),-1)&gt;0,"J_H2A",IFERROR(FIND("H-IIB",B534),-1)&gt;0,"J_H2B",IFERROR(FIND("H-II",B534),-1)&gt;0,"J_H2",IFERROR(FIND("H-I",B534),-1)&gt;0,"J_H1",IFERROR(FIND("N-II",B534),-1)&gt;0,"J_N2",IFERROR(FIND("N-I",B534),-1)&gt;0,"J_N1",IFERROR(FIND("イプシロン",B534),-1)&gt;0,"J_E",TRUE,"")</f>
        <v/>
      </c>
      <c r="G534" t="str">
        <f t="shared" si="27"/>
        <v/>
      </c>
    </row>
    <row r="535" spans="1:9" ht="27" x14ac:dyDescent="0.15">
      <c r="A535" s="1" t="s">
        <v>964</v>
      </c>
      <c r="B535" s="2" t="s">
        <v>1019</v>
      </c>
      <c r="C535">
        <f t="shared" si="26"/>
        <v>71</v>
      </c>
      <c r="D535" t="s">
        <v>1390</v>
      </c>
      <c r="E535" t="str" cm="1">
        <f t="array" ref="E535">_xlfn.IFS(IFERROR(FIND("M-3SII",B535),-1)&gt;0,"J_M3S2",IFERROR(FIND("M-V",B535),-1)&gt;0,"J_M5",IFERROR(FIND("M-4S",B535),-1)&gt;0,"J_M4S",IFERROR(FIND("M-3C",B535),-1)&gt;0,"J_M3C",IFERROR(FIND("M-3S",B535),-1)&gt;0,"J_M3S",IFERROR(FIND("M-3H",B535),-1)&gt;0,"J_M3H",IFERROR(FIND("H-IIA",B535),-1)&gt;0,"J_H2A",IFERROR(FIND("H-IIB",B535),-1)&gt;0,"J_H2B",IFERROR(FIND("H-II",B535),-1)&gt;0,"J_H2",IFERROR(FIND("H-I",B535),-1)&gt;0,"J_H1",IFERROR(FIND("N-II",B535),-1)&gt;0,"J_N2",IFERROR(FIND("N-I",B535),-1)&gt;0,"J_N1",IFERROR(FIND("イプシロン",B535),-1)&gt;0,"J_E",TRUE,"")</f>
        <v/>
      </c>
      <c r="G535" t="str">
        <f t="shared" si="27"/>
        <v/>
      </c>
      <c r="H535">
        <v>20180404</v>
      </c>
      <c r="I535" t="s">
        <v>1018</v>
      </c>
    </row>
    <row r="536" spans="1:9" ht="27" x14ac:dyDescent="0.15">
      <c r="A536" s="1" t="s">
        <v>965</v>
      </c>
      <c r="B536" s="2" t="s">
        <v>447</v>
      </c>
      <c r="C536">
        <f t="shared" ref="C536:C560" si="31">LEN(B536)</f>
        <v>99</v>
      </c>
      <c r="D536" t="s">
        <v>1391</v>
      </c>
      <c r="E536" t="s">
        <v>1590</v>
      </c>
      <c r="F536">
        <v>4</v>
      </c>
      <c r="G536" t="str">
        <f t="shared" si="27"/>
        <v>J_H2A_4</v>
      </c>
    </row>
    <row r="537" spans="1:9" ht="27" x14ac:dyDescent="0.15">
      <c r="A537" s="1" t="s">
        <v>966</v>
      </c>
      <c r="B537" s="2" t="s">
        <v>448</v>
      </c>
      <c r="C537">
        <f t="shared" si="31"/>
        <v>84</v>
      </c>
      <c r="D537" t="s">
        <v>1571</v>
      </c>
      <c r="E537" t="str" cm="1">
        <f t="array" ref="E537">_xlfn.IFS(IFERROR(FIND("M-3SII",B537),-1)&gt;0,"J_M3S2",IFERROR(FIND("M-V",B537),-1)&gt;0,"J_M5",IFERROR(FIND("M-4S",B537),-1)&gt;0,"J_M4S",IFERROR(FIND("M-3C",B537),-1)&gt;0,"J_M3C",IFERROR(FIND("M-3S",B537),-1)&gt;0,"J_M3S",IFERROR(FIND("M-3H",B537),-1)&gt;0,"J_M3H",IFERROR(FIND("H-IIA",B537),-1)&gt;0,"J_H2A",IFERROR(FIND("H-IIB",B537),-1)&gt;0,"J_H2B",IFERROR(FIND("H-II",B537),-1)&gt;0,"J_H2",IFERROR(FIND("H-I",B537),-1)&gt;0,"J_H1",IFERROR(FIND("N-II",B537),-1)&gt;0,"J_N2",IFERROR(FIND("N-I",B537),-1)&gt;0,"J_N1",IFERROR(FIND("イプシロン",B537),-1)&gt;0,"J_E",TRUE,"")</f>
        <v>J_H2A</v>
      </c>
      <c r="F537">
        <v>4</v>
      </c>
      <c r="G537" t="str">
        <f t="shared" ref="G537:G560" si="32">IF(E537&lt;&gt;"",E537&amp;"_"&amp;F537,"")</f>
        <v>J_H2A_4</v>
      </c>
    </row>
    <row r="538" spans="1:9" ht="27" x14ac:dyDescent="0.15">
      <c r="A538" s="1" t="s">
        <v>967</v>
      </c>
      <c r="B538" s="2" t="s">
        <v>449</v>
      </c>
      <c r="C538">
        <f t="shared" si="31"/>
        <v>96</v>
      </c>
      <c r="D538" t="s">
        <v>1572</v>
      </c>
      <c r="E538" t="s">
        <v>1590</v>
      </c>
      <c r="F538">
        <v>4</v>
      </c>
      <c r="G538" t="str">
        <f t="shared" si="32"/>
        <v>J_H2A_4</v>
      </c>
    </row>
    <row r="539" spans="1:9" ht="27" x14ac:dyDescent="0.15">
      <c r="A539" s="1" t="s">
        <v>968</v>
      </c>
      <c r="B539" s="2" t="s">
        <v>450</v>
      </c>
      <c r="C539">
        <f t="shared" si="31"/>
        <v>108</v>
      </c>
      <c r="D539" t="s">
        <v>1573</v>
      </c>
      <c r="E539" t="s">
        <v>1590</v>
      </c>
      <c r="F539">
        <v>4</v>
      </c>
      <c r="G539" t="str">
        <f t="shared" si="32"/>
        <v>J_H2A_4</v>
      </c>
    </row>
    <row r="540" spans="1:9" ht="27" x14ac:dyDescent="0.15">
      <c r="A540" s="1" t="s">
        <v>969</v>
      </c>
      <c r="B540" s="2" t="s">
        <v>451</v>
      </c>
      <c r="C540">
        <f t="shared" si="31"/>
        <v>64</v>
      </c>
      <c r="D540" t="s">
        <v>1392</v>
      </c>
      <c r="E540" t="str" cm="1">
        <f t="array" ref="E540">_xlfn.IFS(IFERROR(FIND("M-3SII",B540),-1)&gt;0,"J_M3S2",IFERROR(FIND("M-V",B540),-1)&gt;0,"J_M5",IFERROR(FIND("M-4S",B540),-1)&gt;0,"J_M4S",IFERROR(FIND("M-3C",B540),-1)&gt;0,"J_M3C",IFERROR(FIND("M-3S",B540),-1)&gt;0,"J_M3S",IFERROR(FIND("M-3H",B540),-1)&gt;0,"J_M3H",IFERROR(FIND("H-IIA",B540),-1)&gt;0,"J_H2A",IFERROR(FIND("H-IIB",B540),-1)&gt;0,"J_H2B",IFERROR(FIND("H-II",B540),-1)&gt;0,"J_H2",IFERROR(FIND("H-I",B540),-1)&gt;0,"J_H1",IFERROR(FIND("N-II",B540),-1)&gt;0,"J_N2",IFERROR(FIND("N-I",B540),-1)&gt;0,"J_N1",IFERROR(FIND("イプシロン",B540),-1)&gt;0,"J_E",TRUE,"")</f>
        <v/>
      </c>
      <c r="G540" t="str">
        <f t="shared" si="32"/>
        <v/>
      </c>
    </row>
    <row r="541" spans="1:9" ht="27" x14ac:dyDescent="0.15">
      <c r="A541" s="1" t="s">
        <v>970</v>
      </c>
      <c r="B541" s="2" t="s">
        <v>452</v>
      </c>
      <c r="C541">
        <f t="shared" si="31"/>
        <v>117</v>
      </c>
      <c r="D541" t="s">
        <v>1574</v>
      </c>
      <c r="E541" t="str" cm="1">
        <f t="array" ref="E541">_xlfn.IFS(IFERROR(FIND("M-3SII",B541),-1)&gt;0,"J_M3S2",IFERROR(FIND("M-V",B541),-1)&gt;0,"J_M5",IFERROR(FIND("M-4S",B541),-1)&gt;0,"J_M4S",IFERROR(FIND("M-3C",B541),-1)&gt;0,"J_M3C",IFERROR(FIND("M-3S",B541),-1)&gt;0,"J_M3S",IFERROR(FIND("M-3H",B541),-1)&gt;0,"J_M3H",IFERROR(FIND("H-IIA",B541),-1)&gt;0,"J_H2A",IFERROR(FIND("H-IIB",B541),-1)&gt;0,"J_H2B",IFERROR(FIND("H-II",B541),-1)&gt;0,"J_H2",IFERROR(FIND("H-I",B541),-1)&gt;0,"J_H1",IFERROR(FIND("N-II",B541),-1)&gt;0,"J_N2",IFERROR(FIND("N-I",B541),-1)&gt;0,"J_N1",IFERROR(FIND("イプシロン",B541),-1)&gt;0,"J_E",TRUE,"")</f>
        <v/>
      </c>
      <c r="G541" t="str">
        <f t="shared" si="32"/>
        <v/>
      </c>
    </row>
    <row r="542" spans="1:9" ht="27" x14ac:dyDescent="0.15">
      <c r="A542" s="1" t="s">
        <v>971</v>
      </c>
      <c r="B542" s="2" t="s">
        <v>453</v>
      </c>
      <c r="C542">
        <f t="shared" si="31"/>
        <v>96</v>
      </c>
      <c r="D542" t="s">
        <v>1393</v>
      </c>
      <c r="E542" t="str" cm="1">
        <f t="array" ref="E542">_xlfn.IFS(IFERROR(FIND("M-3SII",B542),-1)&gt;0,"J_M3S2",IFERROR(FIND("M-V",B542),-1)&gt;0,"J_M5",IFERROR(FIND("M-4S",B542),-1)&gt;0,"J_M4S",IFERROR(FIND("M-3C",B542),-1)&gt;0,"J_M3C",IFERROR(FIND("M-3S",B542),-1)&gt;0,"J_M3S",IFERROR(FIND("M-3H",B542),-1)&gt;0,"J_M3H",IFERROR(FIND("H-IIA",B542),-1)&gt;0,"J_H2A",IFERROR(FIND("H-IIB",B542),-1)&gt;0,"J_H2B",IFERROR(FIND("H-II",B542),-1)&gt;0,"J_H2",IFERROR(FIND("H-I",B542),-1)&gt;0,"J_H1",IFERROR(FIND("N-II",B542),-1)&gt;0,"J_N2",IFERROR(FIND("N-I",B542),-1)&gt;0,"J_N1",IFERROR(FIND("イプシロン",B542),-1)&gt;0,"J_E",TRUE,"")</f>
        <v/>
      </c>
      <c r="G542" t="str">
        <f t="shared" si="32"/>
        <v/>
      </c>
    </row>
    <row r="543" spans="1:9" ht="27" x14ac:dyDescent="0.15">
      <c r="A543" s="1" t="s">
        <v>972</v>
      </c>
      <c r="B543" s="2" t="s">
        <v>454</v>
      </c>
      <c r="C543">
        <f t="shared" si="31"/>
        <v>74</v>
      </c>
      <c r="D543" t="s">
        <v>1394</v>
      </c>
      <c r="E543" t="str" cm="1">
        <f t="array" ref="E543">_xlfn.IFS(IFERROR(FIND("M-3SII",B543),-1)&gt;0,"J_M3S2",IFERROR(FIND("M-V",B543),-1)&gt;0,"J_M5",IFERROR(FIND("M-4S",B543),-1)&gt;0,"J_M4S",IFERROR(FIND("M-3C",B543),-1)&gt;0,"J_M3C",IFERROR(FIND("M-3S",B543),-1)&gt;0,"J_M3S",IFERROR(FIND("M-3H",B543),-1)&gt;0,"J_M3H",IFERROR(FIND("H-IIA",B543),-1)&gt;0,"J_H2A",IFERROR(FIND("H-IIB",B543),-1)&gt;0,"J_H2B",IFERROR(FIND("H-II",B543),-1)&gt;0,"J_H2",IFERROR(FIND("H-I",B543),-1)&gt;0,"J_H1",IFERROR(FIND("N-II",B543),-1)&gt;0,"J_N2",IFERROR(FIND("N-I",B543),-1)&gt;0,"J_N1",IFERROR(FIND("イプシロン",B543),-1)&gt;0,"J_E",TRUE,"")</f>
        <v/>
      </c>
      <c r="G543" t="str">
        <f t="shared" si="32"/>
        <v/>
      </c>
    </row>
    <row r="544" spans="1:9" ht="27" x14ac:dyDescent="0.15">
      <c r="A544" s="1" t="s">
        <v>974</v>
      </c>
      <c r="B544" s="2" t="s">
        <v>456</v>
      </c>
      <c r="C544">
        <f t="shared" si="31"/>
        <v>112</v>
      </c>
      <c r="D544" t="s">
        <v>1395</v>
      </c>
      <c r="E544" t="s">
        <v>1590</v>
      </c>
      <c r="F544">
        <v>11</v>
      </c>
      <c r="G544" t="str">
        <f t="shared" si="32"/>
        <v>J_H2A_11</v>
      </c>
    </row>
    <row r="545" spans="1:10" x14ac:dyDescent="0.15">
      <c r="A545" s="1" t="s">
        <v>973</v>
      </c>
      <c r="B545" s="2" t="s">
        <v>455</v>
      </c>
      <c r="C545">
        <f t="shared" si="31"/>
        <v>56</v>
      </c>
      <c r="D545" t="s">
        <v>1575</v>
      </c>
      <c r="E545" t="str" cm="1">
        <f t="array" ref="E545">_xlfn.IFS(IFERROR(FIND("M-3SII",B545),-1)&gt;0,"J_M3S2",IFERROR(FIND("M-V",B545),-1)&gt;0,"J_M5",IFERROR(FIND("M-4S",B545),-1)&gt;0,"J_M4S",IFERROR(FIND("M-3C",B545),-1)&gt;0,"J_M3C",IFERROR(FIND("M-3S",B545),-1)&gt;0,"J_M3S",IFERROR(FIND("M-3H",B545),-1)&gt;0,"J_M3H",IFERROR(FIND("H-IIA",B545),-1)&gt;0,"J_H2A",IFERROR(FIND("H-IIB",B545),-1)&gt;0,"J_H2B",IFERROR(FIND("H-II",B545),-1)&gt;0,"J_H2",IFERROR(FIND("H-I",B545),-1)&gt;0,"J_H1",IFERROR(FIND("N-II",B545),-1)&gt;0,"J_N2",IFERROR(FIND("N-I",B545),-1)&gt;0,"J_N1",IFERROR(FIND("イプシロン",B545),-1)&gt;0,"J_E",TRUE,"")</f>
        <v>J_H2A</v>
      </c>
      <c r="F545">
        <v>11</v>
      </c>
      <c r="G545" t="str">
        <f t="shared" si="32"/>
        <v>J_H2A_11</v>
      </c>
    </row>
    <row r="546" spans="1:10" ht="27" x14ac:dyDescent="0.15">
      <c r="A546" s="1" t="s">
        <v>975</v>
      </c>
      <c r="B546" s="2" t="s">
        <v>457</v>
      </c>
      <c r="C546">
        <f t="shared" si="31"/>
        <v>105</v>
      </c>
      <c r="D546" t="s">
        <v>1396</v>
      </c>
      <c r="E546" t="str" cm="1">
        <f t="array" ref="E546">_xlfn.IFS(IFERROR(FIND("M-3SII",B546),-1)&gt;0,"J_M3S2",IFERROR(FIND("M-V",B546),-1)&gt;0,"J_M5",IFERROR(FIND("M-4S",B546),-1)&gt;0,"J_M4S",IFERROR(FIND("M-3C",B546),-1)&gt;0,"J_M3C",IFERROR(FIND("M-3S",B546),-1)&gt;0,"J_M3S",IFERROR(FIND("M-3H",B546),-1)&gt;0,"J_M3H",IFERROR(FIND("H-IIA",B546),-1)&gt;0,"J_H2A",IFERROR(FIND("H-IIB",B546),-1)&gt;0,"J_H2B",IFERROR(FIND("H-II",B546),-1)&gt;0,"J_H2",IFERROR(FIND("H-I",B546),-1)&gt;0,"J_H1",IFERROR(FIND("N-II",B546),-1)&gt;0,"J_N2",IFERROR(FIND("N-I",B546),-1)&gt;0,"J_N1",IFERROR(FIND("イプシロン",B546),-1)&gt;0,"J_E",TRUE,"")</f>
        <v/>
      </c>
      <c r="G546" t="str">
        <f t="shared" si="32"/>
        <v/>
      </c>
    </row>
    <row r="547" spans="1:10" ht="27" x14ac:dyDescent="0.15">
      <c r="A547" s="1" t="s">
        <v>976</v>
      </c>
      <c r="B547" s="2" t="s">
        <v>458</v>
      </c>
      <c r="C547">
        <f t="shared" si="31"/>
        <v>112</v>
      </c>
      <c r="D547" t="s">
        <v>1397</v>
      </c>
      <c r="E547" t="str" cm="1">
        <f t="array" ref="E547">_xlfn.IFS(IFERROR(FIND("M-3SII",B547),-1)&gt;0,"J_M3S2",IFERROR(FIND("M-V",B547),-1)&gt;0,"J_M5",IFERROR(FIND("M-4S",B547),-1)&gt;0,"J_M4S",IFERROR(FIND("M-3C",B547),-1)&gt;0,"J_M3C",IFERROR(FIND("M-3S",B547),-1)&gt;0,"J_M3S",IFERROR(FIND("M-3H",B547),-1)&gt;0,"J_M3H",IFERROR(FIND("H-IIA",B547),-1)&gt;0,"J_H2A",IFERROR(FIND("H-IIB",B547),-1)&gt;0,"J_H2B",IFERROR(FIND("H-II",B547),-1)&gt;0,"J_H2",IFERROR(FIND("H-I",B547),-1)&gt;0,"J_H1",IFERROR(FIND("N-II",B547),-1)&gt;0,"J_N2",IFERROR(FIND("N-I",B547),-1)&gt;0,"J_N1",IFERROR(FIND("イプシロン",B547),-1)&gt;0,"J_E",TRUE,"")</f>
        <v/>
      </c>
      <c r="G547" t="str">
        <f t="shared" si="32"/>
        <v/>
      </c>
    </row>
    <row r="548" spans="1:10" ht="40.5" x14ac:dyDescent="0.15">
      <c r="A548" s="1" t="s">
        <v>977</v>
      </c>
      <c r="B548" s="2" t="s">
        <v>1020</v>
      </c>
      <c r="C548">
        <f t="shared" si="31"/>
        <v>116</v>
      </c>
      <c r="D548" t="s">
        <v>1398</v>
      </c>
      <c r="E548" t="str" cm="1">
        <f t="array" ref="E548">_xlfn.IFS(IFERROR(FIND("M-3SII",B548),-1)&gt;0,"J_M3S2",IFERROR(FIND("M-V",B548),-1)&gt;0,"J_M5",IFERROR(FIND("M-4S",B548),-1)&gt;0,"J_M4S",IFERROR(FIND("M-3C",B548),-1)&gt;0,"J_M3C",IFERROR(FIND("M-3S",B548),-1)&gt;0,"J_M3S",IFERROR(FIND("M-3H",B548),-1)&gt;0,"J_M3H",IFERROR(FIND("H-IIA",B548),-1)&gt;0,"J_H2A",IFERROR(FIND("H-IIB",B548),-1)&gt;0,"J_H2B",IFERROR(FIND("H-II",B548),-1)&gt;0,"J_H2",IFERROR(FIND("H-I",B548),-1)&gt;0,"J_H1",IFERROR(FIND("N-II",B548),-1)&gt;0,"J_N2",IFERROR(FIND("N-I",B548),-1)&gt;0,"J_N1",IFERROR(FIND("イプシロン",B548),-1)&gt;0,"J_E",TRUE,"")</f>
        <v/>
      </c>
      <c r="G548" t="str">
        <f t="shared" si="32"/>
        <v/>
      </c>
      <c r="H548">
        <v>20180404</v>
      </c>
      <c r="I548" t="s">
        <v>1018</v>
      </c>
    </row>
    <row r="549" spans="1:10" ht="27" x14ac:dyDescent="0.15">
      <c r="A549" s="1" t="s">
        <v>978</v>
      </c>
      <c r="B549" s="2" t="s">
        <v>459</v>
      </c>
      <c r="C549">
        <f t="shared" si="31"/>
        <v>106</v>
      </c>
      <c r="D549" t="s">
        <v>1576</v>
      </c>
      <c r="E549" t="str" cm="1">
        <f t="array" ref="E549">_xlfn.IFS(IFERROR(FIND("M-3SII",B549),-1)&gt;0,"J_M3S2",IFERROR(FIND("M-V",B549),-1)&gt;0,"J_M5",IFERROR(FIND("M-4S",B549),-1)&gt;0,"J_M4S",IFERROR(FIND("M-3C",B549),-1)&gt;0,"J_M3C",IFERROR(FIND("M-3S",B549),-1)&gt;0,"J_M3S",IFERROR(FIND("M-3H",B549),-1)&gt;0,"J_M3H",IFERROR(FIND("H-IIA",B549),-1)&gt;0,"J_H2A",IFERROR(FIND("H-IIB",B549),-1)&gt;0,"J_H2B",IFERROR(FIND("H-II",B549),-1)&gt;0,"J_H2",IFERROR(FIND("H-I",B549),-1)&gt;0,"J_H1",IFERROR(FIND("N-II",B549),-1)&gt;0,"J_N2",IFERROR(FIND("N-I",B549),-1)&gt;0,"J_N1",IFERROR(FIND("イプシロン",B549),-1)&gt;0,"J_E",TRUE,"")</f>
        <v/>
      </c>
      <c r="G549" t="str">
        <f t="shared" si="32"/>
        <v/>
      </c>
    </row>
    <row r="550" spans="1:10" ht="27" x14ac:dyDescent="0.15">
      <c r="A550" s="1" t="s">
        <v>979</v>
      </c>
      <c r="B550" s="2" t="s">
        <v>1613</v>
      </c>
      <c r="C550">
        <f t="shared" si="31"/>
        <v>92</v>
      </c>
      <c r="D550" t="s">
        <v>1577</v>
      </c>
      <c r="E550" t="str" cm="1">
        <f t="array" ref="E550">_xlfn.IFS(IFERROR(FIND("M-3SII",B550),-1)&gt;0,"J_M3S2",IFERROR(FIND("M-V",B550),-1)&gt;0,"J_M5",IFERROR(FIND("M-4S",B550),-1)&gt;0,"J_M4S",IFERROR(FIND("M-3C",B550),-1)&gt;0,"J_M3C",IFERROR(FIND("M-3S",B550),-1)&gt;0,"J_M3S",IFERROR(FIND("M-3H",B550),-1)&gt;0,"J_M3H",IFERROR(FIND("H-IIA",B550),-1)&gt;0,"J_H2A",IFERROR(FIND("H-IIB",B550),-1)&gt;0,"J_H2B",IFERROR(FIND("H-II",B550),-1)&gt;0,"J_H2",IFERROR(FIND("H-I",B550),-1)&gt;0,"J_H1",IFERROR(FIND("N-II",B550),-1)&gt;0,"J_N2",IFERROR(FIND("N-I",B550),-1)&gt;0,"J_N1",IFERROR(FIND("イプシロン",B550),-1)&gt;0,"J_E",TRUE,"")</f>
        <v/>
      </c>
      <c r="G550" t="str">
        <f t="shared" si="32"/>
        <v/>
      </c>
    </row>
    <row r="551" spans="1:10" ht="27" x14ac:dyDescent="0.15">
      <c r="A551" s="1" t="s">
        <v>980</v>
      </c>
      <c r="B551" s="2" t="s">
        <v>460</v>
      </c>
      <c r="C551">
        <f t="shared" si="31"/>
        <v>85</v>
      </c>
      <c r="D551" t="s">
        <v>1399</v>
      </c>
      <c r="E551" t="str" cm="1">
        <f t="array" ref="E551">_xlfn.IFS(IFERROR(FIND("M-3SII",B551),-1)&gt;0,"J_M3S2",IFERROR(FIND("M-V",B551),-1)&gt;0,"J_M5",IFERROR(FIND("M-4S",B551),-1)&gt;0,"J_M4S",IFERROR(FIND("M-3C",B551),-1)&gt;0,"J_M3C",IFERROR(FIND("M-3S",B551),-1)&gt;0,"J_M3S",IFERROR(FIND("M-3H",B551),-1)&gt;0,"J_M3H",IFERROR(FIND("H-IIA",B551),-1)&gt;0,"J_H2A",IFERROR(FIND("H-IIB",B551),-1)&gt;0,"J_H2B",IFERROR(FIND("H-II",B551),-1)&gt;0,"J_H2",IFERROR(FIND("H-I",B551),-1)&gt;0,"J_H1",IFERROR(FIND("N-II",B551),-1)&gt;0,"J_N2",IFERROR(FIND("N-I",B551),-1)&gt;0,"J_N1",IFERROR(FIND("イプシロン",B551),-1)&gt;0,"J_E",TRUE,"")</f>
        <v/>
      </c>
      <c r="G551" t="str">
        <f t="shared" si="32"/>
        <v/>
      </c>
    </row>
    <row r="552" spans="1:10" ht="27" x14ac:dyDescent="0.15">
      <c r="A552" s="1" t="s">
        <v>981</v>
      </c>
      <c r="B552" s="2" t="s">
        <v>461</v>
      </c>
      <c r="C552">
        <f t="shared" si="31"/>
        <v>111</v>
      </c>
      <c r="D552" t="s">
        <v>1400</v>
      </c>
      <c r="E552" t="str" cm="1">
        <f t="array" ref="E552">_xlfn.IFS(IFERROR(FIND("M-3SII",B552),-1)&gt;0,"J_M3S2",IFERROR(FIND("M-V",B552),-1)&gt;0,"J_M5",IFERROR(FIND("M-4S",B552),-1)&gt;0,"J_M4S",IFERROR(FIND("M-3C",B552),-1)&gt;0,"J_M3C",IFERROR(FIND("M-3S",B552),-1)&gt;0,"J_M3S",IFERROR(FIND("M-3H",B552),-1)&gt;0,"J_M3H",IFERROR(FIND("H-IIA",B552),-1)&gt;0,"J_H2A",IFERROR(FIND("H-IIB",B552),-1)&gt;0,"J_H2B",IFERROR(FIND("H-II",B552),-1)&gt;0,"J_H2",IFERROR(FIND("H-I",B552),-1)&gt;0,"J_H1",IFERROR(FIND("N-II",B552),-1)&gt;0,"J_N2",IFERROR(FIND("N-I",B552),-1)&gt;0,"J_N1",IFERROR(FIND("イプシロン",B552),-1)&gt;0,"J_E",TRUE,"")</f>
        <v/>
      </c>
      <c r="G552" t="str">
        <f t="shared" si="32"/>
        <v/>
      </c>
    </row>
    <row r="553" spans="1:10" ht="27" x14ac:dyDescent="0.15">
      <c r="A553" s="1" t="s">
        <v>982</v>
      </c>
      <c r="B553" s="2" t="s">
        <v>462</v>
      </c>
      <c r="C553">
        <f t="shared" si="31"/>
        <v>86</v>
      </c>
      <c r="D553" t="s">
        <v>1401</v>
      </c>
      <c r="E553" t="str" cm="1">
        <f t="array" ref="E553">_xlfn.IFS(IFERROR(FIND("M-3SII",B553),-1)&gt;0,"J_M3S2",IFERROR(FIND("M-V",B553),-1)&gt;0,"J_M5",IFERROR(FIND("M-4S",B553),-1)&gt;0,"J_M4S",IFERROR(FIND("M-3C",B553),-1)&gt;0,"J_M3C",IFERROR(FIND("M-3S",B553),-1)&gt;0,"J_M3S",IFERROR(FIND("M-3H",B553),-1)&gt;0,"J_M3H",IFERROR(FIND("H-IIA",B553),-1)&gt;0,"J_H2A",IFERROR(FIND("H-IIB",B553),-1)&gt;0,"J_H2B",IFERROR(FIND("H-II",B553),-1)&gt;0,"J_H2",IFERROR(FIND("H-I",B553),-1)&gt;0,"J_H1",IFERROR(FIND("N-II",B553),-1)&gt;0,"J_N2",IFERROR(FIND("N-I",B553),-1)&gt;0,"J_N1",IFERROR(FIND("イプシロン",B553),-1)&gt;0,"J_E",TRUE,"")</f>
        <v/>
      </c>
      <c r="G553" t="str">
        <f t="shared" si="32"/>
        <v/>
      </c>
    </row>
    <row r="554" spans="1:10" ht="27" x14ac:dyDescent="0.15">
      <c r="A554" s="1" t="s">
        <v>983</v>
      </c>
      <c r="B554" s="2" t="s">
        <v>463</v>
      </c>
      <c r="C554">
        <f t="shared" si="31"/>
        <v>104</v>
      </c>
      <c r="D554" t="s">
        <v>1402</v>
      </c>
      <c r="E554" t="str" cm="1">
        <f t="array" ref="E554">_xlfn.IFS(IFERROR(FIND("M-3SII",B554),-1)&gt;0,"J_M3S2",IFERROR(FIND("M-V",B554),-1)&gt;0,"J_M5",IFERROR(FIND("M-4S",B554),-1)&gt;0,"J_M4S",IFERROR(FIND("M-3C",B554),-1)&gt;0,"J_M3C",IFERROR(FIND("M-3S",B554),-1)&gt;0,"J_M3S",IFERROR(FIND("M-3H",B554),-1)&gt;0,"J_M3H",IFERROR(FIND("H-IIA",B554),-1)&gt;0,"J_H2A",IFERROR(FIND("H-IIB",B554),-1)&gt;0,"J_H2B",IFERROR(FIND("H-II",B554),-1)&gt;0,"J_H2",IFERROR(FIND("H-I",B554),-1)&gt;0,"J_H1",IFERROR(FIND("N-II",B554),-1)&gt;0,"J_N2",IFERROR(FIND("N-I",B554),-1)&gt;0,"J_N1",IFERROR(FIND("イプシロン",B554),-1)&gt;0,"J_E",TRUE,"")</f>
        <v/>
      </c>
      <c r="G554" t="str">
        <f t="shared" si="32"/>
        <v/>
      </c>
    </row>
    <row r="555" spans="1:10" ht="27" x14ac:dyDescent="0.15">
      <c r="A555" s="1" t="s">
        <v>984</v>
      </c>
      <c r="B555" s="2" t="s">
        <v>464</v>
      </c>
      <c r="C555">
        <f t="shared" si="31"/>
        <v>106</v>
      </c>
      <c r="D555" t="s">
        <v>1403</v>
      </c>
      <c r="E555" t="str" cm="1">
        <f t="array" ref="E555">_xlfn.IFS(IFERROR(FIND("M-3SII",B555),-1)&gt;0,"J_M3S2",IFERROR(FIND("M-V",B555),-1)&gt;0,"J_M5",IFERROR(FIND("M-4S",B555),-1)&gt;0,"J_M4S",IFERROR(FIND("M-3C",B555),-1)&gt;0,"J_M3C",IFERROR(FIND("M-3S",B555),-1)&gt;0,"J_M3S",IFERROR(FIND("M-3H",B555),-1)&gt;0,"J_M3H",IFERROR(FIND("H-IIA",B555),-1)&gt;0,"J_H2A",IFERROR(FIND("H-IIB",B555),-1)&gt;0,"J_H2B",IFERROR(FIND("H-II",B555),-1)&gt;0,"J_H2",IFERROR(FIND("H-I",B555),-1)&gt;0,"J_H1",IFERROR(FIND("N-II",B555),-1)&gt;0,"J_N2",IFERROR(FIND("N-I",B555),-1)&gt;0,"J_N1",IFERROR(FIND("イプシロン",B555),-1)&gt;0,"J_E",TRUE,"")</f>
        <v/>
      </c>
      <c r="G555" t="str">
        <f t="shared" si="32"/>
        <v/>
      </c>
    </row>
    <row r="556" spans="1:10" ht="27" x14ac:dyDescent="0.15">
      <c r="A556" s="1" t="s">
        <v>985</v>
      </c>
      <c r="B556" s="2" t="s">
        <v>465</v>
      </c>
      <c r="C556">
        <f t="shared" si="31"/>
        <v>83</v>
      </c>
      <c r="D556" t="s">
        <v>1404</v>
      </c>
      <c r="E556" t="str" cm="1">
        <f t="array" ref="E556">_xlfn.IFS(IFERROR(FIND("M-3SII",B556),-1)&gt;0,"J_M3S2",IFERROR(FIND("M-V",B556),-1)&gt;0,"J_M5",IFERROR(FIND("M-4S",B556),-1)&gt;0,"J_M4S",IFERROR(FIND("M-3C",B556),-1)&gt;0,"J_M3C",IFERROR(FIND("M-3S",B556),-1)&gt;0,"J_M3S",IFERROR(FIND("M-3H",B556),-1)&gt;0,"J_M3H",IFERROR(FIND("H-IIA",B556),-1)&gt;0,"J_H2A",IFERROR(FIND("H-IIB",B556),-1)&gt;0,"J_H2B",IFERROR(FIND("H-II",B556),-1)&gt;0,"J_H2",IFERROR(FIND("H-I",B556),-1)&gt;0,"J_H1",IFERROR(FIND("N-II",B556),-1)&gt;0,"J_N2",IFERROR(FIND("N-I",B556),-1)&gt;0,"J_N1",IFERROR(FIND("イプシロン",B556),-1)&gt;0,"J_E",TRUE,"")</f>
        <v/>
      </c>
      <c r="G556" t="str">
        <f t="shared" si="32"/>
        <v/>
      </c>
    </row>
    <row r="557" spans="1:10" ht="27" x14ac:dyDescent="0.15">
      <c r="A557" s="1" t="s">
        <v>986</v>
      </c>
      <c r="B557" s="2" t="s">
        <v>466</v>
      </c>
      <c r="C557">
        <f t="shared" si="31"/>
        <v>101</v>
      </c>
      <c r="D557" t="s">
        <v>1405</v>
      </c>
      <c r="E557" t="str" cm="1">
        <f t="array" ref="E557">_xlfn.IFS(IFERROR(FIND("M-3SII",B557),-1)&gt;0,"J_M3S2",IFERROR(FIND("M-V",B557),-1)&gt;0,"J_M5",IFERROR(FIND("M-4S",B557),-1)&gt;0,"J_M4S",IFERROR(FIND("M-3C",B557),-1)&gt;0,"J_M3C",IFERROR(FIND("M-3S",B557),-1)&gt;0,"J_M3S",IFERROR(FIND("M-3H",B557),-1)&gt;0,"J_M3H",IFERROR(FIND("H-IIA",B557),-1)&gt;0,"J_H2A",IFERROR(FIND("H-IIB",B557),-1)&gt;0,"J_H2B",IFERROR(FIND("H-II",B557),-1)&gt;0,"J_H2",IFERROR(FIND("H-I",B557),-1)&gt;0,"J_H1",IFERROR(FIND("N-II",B557),-1)&gt;0,"J_N2",IFERROR(FIND("N-I",B557),-1)&gt;0,"J_N1",IFERROR(FIND("イプシロン",B557),-1)&gt;0,"J_E",TRUE,"")</f>
        <v/>
      </c>
      <c r="G557" t="str">
        <f t="shared" si="32"/>
        <v/>
      </c>
    </row>
    <row r="558" spans="1:10" ht="27" x14ac:dyDescent="0.15">
      <c r="A558" s="1" t="s">
        <v>987</v>
      </c>
      <c r="B558" s="2" t="s">
        <v>467</v>
      </c>
      <c r="C558">
        <f t="shared" si="31"/>
        <v>115</v>
      </c>
      <c r="D558" t="s">
        <v>1406</v>
      </c>
      <c r="E558" t="str" cm="1">
        <f t="array" ref="E558">_xlfn.IFS(IFERROR(FIND("M-3SII",B558),-1)&gt;0,"J_M3S2",IFERROR(FIND("M-V",B558),-1)&gt;0,"J_M5",IFERROR(FIND("M-4S",B558),-1)&gt;0,"J_M4S",IFERROR(FIND("M-3C",B558),-1)&gt;0,"J_M3C",IFERROR(FIND("M-3S",B558),-1)&gt;0,"J_M3S",IFERROR(FIND("M-3H",B558),-1)&gt;0,"J_M3H",IFERROR(FIND("H-IIA",B558),-1)&gt;0,"J_H2A",IFERROR(FIND("H-IIB",B558),-1)&gt;0,"J_H2B",IFERROR(FIND("H-II",B558),-1)&gt;0,"J_H2",IFERROR(FIND("H-I",B558),-1)&gt;0,"J_H1",IFERROR(FIND("N-II",B558),-1)&gt;0,"J_N2",IFERROR(FIND("N-I",B558),-1)&gt;0,"J_N1",IFERROR(FIND("イプシロン",B558),-1)&gt;0,"J_E",TRUE,"")</f>
        <v/>
      </c>
      <c r="G558" t="str">
        <f t="shared" si="32"/>
        <v/>
      </c>
    </row>
    <row r="559" spans="1:10" ht="27" x14ac:dyDescent="0.15">
      <c r="A559" s="1" t="s">
        <v>988</v>
      </c>
      <c r="B559" s="2" t="s">
        <v>468</v>
      </c>
      <c r="C559">
        <f t="shared" si="31"/>
        <v>87</v>
      </c>
      <c r="D559" t="s">
        <v>1407</v>
      </c>
      <c r="E559" t="str" cm="1">
        <f t="array" ref="E559">_xlfn.IFS(IFERROR(FIND("M-3SII",B559),-1)&gt;0,"J_M3S2",IFERROR(FIND("M-V",B559),-1)&gt;0,"J_M5",IFERROR(FIND("M-4S",B559),-1)&gt;0,"J_M4S",IFERROR(FIND("M-3C",B559),-1)&gt;0,"J_M3C",IFERROR(FIND("M-3S",B559),-1)&gt;0,"J_M3S",IFERROR(FIND("M-3H",B559),-1)&gt;0,"J_M3H",IFERROR(FIND("H-IIA",B559),-1)&gt;0,"J_H2A",IFERROR(FIND("H-IIB",B559),-1)&gt;0,"J_H2B",IFERROR(FIND("H-II",B559),-1)&gt;0,"J_H2",IFERROR(FIND("H-I",B559),-1)&gt;0,"J_H1",IFERROR(FIND("N-II",B559),-1)&gt;0,"J_N2",IFERROR(FIND("N-I",B559),-1)&gt;0,"J_N1",IFERROR(FIND("イプシロン",B559),-1)&gt;0,"J_E",TRUE,"")</f>
        <v/>
      </c>
      <c r="G559" t="str">
        <f t="shared" si="32"/>
        <v/>
      </c>
    </row>
    <row r="560" spans="1:10" ht="27" x14ac:dyDescent="0.15">
      <c r="A560" s="1" t="s">
        <v>989</v>
      </c>
      <c r="B560" s="2" t="s">
        <v>1867</v>
      </c>
      <c r="C560">
        <f t="shared" si="31"/>
        <v>131</v>
      </c>
      <c r="D560" t="s">
        <v>1408</v>
      </c>
      <c r="E560" t="str" cm="1">
        <f t="array" ref="E560">_xlfn.IFS(IFERROR(FIND("M-3SII",B560),-1)&gt;0,"J_M3S2",IFERROR(FIND("M-V",B560),-1)&gt;0,"J_M5",IFERROR(FIND("M-4S",B560),-1)&gt;0,"J_M4S",IFERROR(FIND("M-3C",B560),-1)&gt;0,"J_M3C",IFERROR(FIND("M-3S",B560),-1)&gt;0,"J_M3S",IFERROR(FIND("M-3H",B560),-1)&gt;0,"J_M3H",IFERROR(FIND("H-IIA",B560),-1)&gt;0,"J_H2A",IFERROR(FIND("H-IIB",B560),-1)&gt;0,"J_H2B",IFERROR(FIND("H-II",B560),-1)&gt;0,"J_H2",IFERROR(FIND("H-I",B560),-1)&gt;0,"J_H1",IFERROR(FIND("N-II",B560),-1)&gt;0,"J_N2",IFERROR(FIND("N-I",B560),-1)&gt;0,"J_N1",IFERROR(FIND("イプシロン",B560),-1)&gt;0,"J_E",TRUE,"")</f>
        <v/>
      </c>
      <c r="G560" t="str">
        <f t="shared" si="32"/>
        <v/>
      </c>
      <c r="H560">
        <v>20250129</v>
      </c>
      <c r="I560" t="s">
        <v>1866</v>
      </c>
      <c r="J560" t="s">
        <v>1865</v>
      </c>
    </row>
    <row r="561" spans="1:2" x14ac:dyDescent="0.15">
      <c r="A561" s="1"/>
      <c r="B561" s="2"/>
    </row>
  </sheetData>
  <autoFilter ref="A1:J561" xr:uid="{00000000-0001-0000-0000-000000000000}">
    <sortState xmlns:xlrd2="http://schemas.microsoft.com/office/spreadsheetml/2017/richdata2" ref="A2:J561">
      <sortCondition ref="D1:D561"/>
    </sortState>
  </autoFilter>
  <phoneticPr fontId="1"/>
  <conditionalFormatting sqref="C2:C561">
    <cfRule type="cellIs" dxfId="1" priority="2" operator="greaterThan">
      <formula>140</formula>
    </cfRule>
  </conditionalFormatting>
  <hyperlinks>
    <hyperlink ref="J139" r:id="rId1" xr:uid="{0F260FAF-996C-40A8-8799-E05EAEF8D53E}"/>
  </hyperlinks>
  <pageMargins left="0.7" right="0.7" top="0.75" bottom="0.75" header="0.3" footer="0.3"/>
  <pageSetup paperSize="9"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AEC94-D846-4FB3-856D-0EF56374039D}">
  <dimension ref="B1:R541"/>
  <sheetViews>
    <sheetView topLeftCell="A85" workbookViewId="0">
      <selection activeCell="G84" sqref="G84"/>
    </sheetView>
  </sheetViews>
  <sheetFormatPr defaultRowHeight="16.5" x14ac:dyDescent="0.15"/>
  <cols>
    <col min="1" max="1" width="3.625" style="6" customWidth="1"/>
    <col min="2" max="6" width="5.875" style="6" customWidth="1"/>
    <col min="7" max="7" width="42" style="6" customWidth="1"/>
    <col min="8" max="13" width="5.875" style="6" customWidth="1"/>
    <col min="14" max="14" width="42" style="6" customWidth="1"/>
    <col min="15" max="15" width="9" style="6"/>
    <col min="16" max="16" width="11.125" style="6" bestFit="1" customWidth="1"/>
    <col min="17" max="17" width="15.75" style="6" bestFit="1" customWidth="1"/>
    <col min="18" max="16384" width="9" style="6"/>
  </cols>
  <sheetData>
    <row r="1" spans="2:18" x14ac:dyDescent="0.15">
      <c r="P1" s="10" t="s">
        <v>1640</v>
      </c>
      <c r="Q1" s="6" t="s">
        <v>1815</v>
      </c>
      <c r="R1"/>
    </row>
    <row r="2" spans="2:18" x14ac:dyDescent="0.15">
      <c r="P2" s="11" t="s">
        <v>1044</v>
      </c>
      <c r="Q2" s="6">
        <v>1</v>
      </c>
      <c r="R2"/>
    </row>
    <row r="3" spans="2:18" x14ac:dyDescent="0.15">
      <c r="B3" s="5" t="s">
        <v>1583</v>
      </c>
      <c r="C3" s="5" t="s">
        <v>1584</v>
      </c>
      <c r="D3" s="5" t="s">
        <v>1630</v>
      </c>
      <c r="E3" s="5" t="s">
        <v>1632</v>
      </c>
      <c r="F3" s="5" t="s">
        <v>1631</v>
      </c>
      <c r="G3" s="5" t="s">
        <v>1633</v>
      </c>
      <c r="I3" s="5" t="s">
        <v>1583</v>
      </c>
      <c r="J3" s="5" t="s">
        <v>1584</v>
      </c>
      <c r="K3" s="5" t="s">
        <v>1630</v>
      </c>
      <c r="L3" s="5" t="s">
        <v>1632</v>
      </c>
      <c r="M3" s="5" t="s">
        <v>1631</v>
      </c>
      <c r="N3" s="5" t="s">
        <v>1633</v>
      </c>
      <c r="P3" s="11" t="s">
        <v>1045</v>
      </c>
      <c r="Q3" s="6">
        <v>1</v>
      </c>
      <c r="R3"/>
    </row>
    <row r="4" spans="2:18" x14ac:dyDescent="0.15">
      <c r="B4" s="5" t="s">
        <v>1600</v>
      </c>
      <c r="C4" s="5">
        <v>1</v>
      </c>
      <c r="D4" s="5"/>
      <c r="E4" s="7" t="str">
        <f>IF(F4&gt;=2,"◯",IF(F4&gt;0,"△","✕"))</f>
        <v>◯</v>
      </c>
      <c r="F4" s="5">
        <f>COUNTIFS(todayssatellite!$E:$E,データチェック!B4,todayssatellite!$F:$F,データチェック!C4)</f>
        <v>2</v>
      </c>
      <c r="G4" s="5" t="str">
        <f ca="1">OFFSET(todayssatellite!$B$1,MATCH(B4&amp;"_"&amp;C4,todayssatellite!$G:$G,0)-1,0)</f>
        <v>【今日の人工衛星】9/9 (14:30打上) 1975年：きく1号 宇宙開発事業団(NASDA)初の人工衛星。N-Iロケット1号機で打上。人工衛星の軌道投入、通信、姿勢制御等の技術習得が目的。実験は無事成功した。</v>
      </c>
      <c r="H4" s="6" t="s">
        <v>1635</v>
      </c>
      <c r="I4" s="5" t="s">
        <v>1623</v>
      </c>
      <c r="J4" s="5">
        <v>5</v>
      </c>
      <c r="K4" s="5"/>
      <c r="L4" s="7" t="str">
        <f t="shared" ref="L4:L41" si="0">IF(M4&gt;=2,"◯",IF(M4&gt;0,"△","✕"))</f>
        <v>◯</v>
      </c>
      <c r="M4" s="5">
        <f>COUNTIFS(todayssatellite!$E:$E,データチェック!I4,todayssatellite!$F:$F,データチェック!J4)</f>
        <v>2</v>
      </c>
      <c r="N4" s="5" t="str">
        <f ca="1">OFFSET(todayssatellite!$B$1,MATCH(I4&amp;"_"&amp;J4,todayssatellite!$G:$G,0)-1,0)</f>
        <v>【今日の人工衛星】2/11 1970年：おおすみ 日本初の人工衛星。世界で4番目に自力打ち上げに成功した。 1992年：ふよう 地球資源衛星。日本初の合成開口レーダー搭載衛星。6年間活動した。</v>
      </c>
      <c r="O4" s="6" t="s">
        <v>1635</v>
      </c>
      <c r="P4" s="11" t="s">
        <v>1046</v>
      </c>
      <c r="Q4" s="6">
        <v>1</v>
      </c>
      <c r="R4"/>
    </row>
    <row r="5" spans="2:18" x14ac:dyDescent="0.15">
      <c r="B5" s="5" t="s">
        <v>1600</v>
      </c>
      <c r="C5" s="5">
        <v>2</v>
      </c>
      <c r="D5" s="5"/>
      <c r="E5" s="7" t="str">
        <f t="shared" ref="E5:E68" si="1">IF(F5&gt;=2,"◯",IF(F5&gt;0,"△","✕"))</f>
        <v>◯</v>
      </c>
      <c r="F5" s="5">
        <f>COUNTIFS(todayssatellite!$E:$E,データチェック!B5,todayssatellite!$F:$F,データチェック!C5)</f>
        <v>2</v>
      </c>
      <c r="G5" s="5" t="str">
        <f ca="1">OFFSET(todayssatellite!$B$1,MATCH(B5&amp;"_"&amp;C5,todayssatellite!$G:$G,0)-1,0)</f>
        <v>【今日の人工衛星】2/29 1976年：うめ 電離層観測を実施、世界で初めて電離層臨界周波数の地球周回分布を明らかにしたが、約1ヶ月で機能しなくなってしまった。</v>
      </c>
      <c r="H5" s="6" t="s">
        <v>1635</v>
      </c>
      <c r="I5" s="5" t="s">
        <v>1596</v>
      </c>
      <c r="J5" s="5">
        <v>1</v>
      </c>
      <c r="K5" s="5" t="s">
        <v>1627</v>
      </c>
      <c r="L5" s="7" t="str">
        <f t="shared" si="0"/>
        <v>✕</v>
      </c>
      <c r="M5" s="5">
        <f>COUNTIFS(todayssatellite!$E:$E,データチェック!I5,todayssatellite!$F:$F,データチェック!J5)</f>
        <v>0</v>
      </c>
      <c r="N5" s="5" t="e">
        <f ca="1">OFFSET(todayssatellite!$B$1,MATCH(I5&amp;"_"&amp;J5,todayssatellite!$G:$G,0)-1,0)</f>
        <v>#N/A</v>
      </c>
      <c r="O5" s="6" t="s">
        <v>1635</v>
      </c>
      <c r="P5" s="11" t="s">
        <v>1047</v>
      </c>
      <c r="Q5" s="6">
        <v>1</v>
      </c>
      <c r="R5"/>
    </row>
    <row r="6" spans="2:18" x14ac:dyDescent="0.15">
      <c r="B6" s="5" t="s">
        <v>1600</v>
      </c>
      <c r="C6" s="5">
        <v>3</v>
      </c>
      <c r="D6" s="5"/>
      <c r="E6" s="7" t="str">
        <f t="shared" si="1"/>
        <v>◯</v>
      </c>
      <c r="F6" s="5">
        <f>COUNTIFS(todayssatellite!$E:$E,データチェック!B6,todayssatellite!$F:$F,データチェック!C6)</f>
        <v>2</v>
      </c>
      <c r="G6" s="5" t="str">
        <f ca="1">OFFSET(todayssatellite!$B$1,MATCH(B6&amp;"_"&amp;C6,todayssatellite!$G:$G,0)-1,0)</f>
        <v>【今日の人工衛星】2/23 1977年：きく2号 日本初の静止衛星。きくシリーズは技術試験衛星。</v>
      </c>
      <c r="H6" s="6" t="s">
        <v>1635</v>
      </c>
      <c r="I6" s="5" t="s">
        <v>1596</v>
      </c>
      <c r="J6" s="5">
        <v>2</v>
      </c>
      <c r="K6" s="5"/>
      <c r="L6" s="7" t="str">
        <f t="shared" si="0"/>
        <v>◯</v>
      </c>
      <c r="M6" s="5">
        <f>COUNTIFS(todayssatellite!$E:$E,データチェック!I6,todayssatellite!$F:$F,データチェック!J6)</f>
        <v>2</v>
      </c>
      <c r="N6" s="5" t="str">
        <f ca="1">OFFSET(todayssatellite!$B$1,MATCH(I6&amp;"_"&amp;J6,todayssatellite!$G:$G,0)-1,0)</f>
        <v>【今日の人工衛星】2/16 1971年：たんせい1号 Muロケット初の衛星、ロケットの性能確認が主目的。名前の由来は東大のスクールカラーの「淡青」。 1974年：たんせい2号 衛星制御システムの試験を目的とした衛星</v>
      </c>
      <c r="O6" s="6" t="s">
        <v>1635</v>
      </c>
      <c r="P6" s="11" t="s">
        <v>1048</v>
      </c>
      <c r="Q6" s="6">
        <v>1</v>
      </c>
      <c r="R6"/>
    </row>
    <row r="7" spans="2:18" x14ac:dyDescent="0.15">
      <c r="B7" s="5" t="s">
        <v>1600</v>
      </c>
      <c r="C7" s="5">
        <v>4</v>
      </c>
      <c r="D7" s="5"/>
      <c r="E7" s="7" t="str">
        <f t="shared" si="1"/>
        <v>✕</v>
      </c>
      <c r="F7" s="5">
        <f>COUNTIFS(todayssatellite!$E:$E,データチェック!B7,todayssatellite!$F:$F,データチェック!C7)</f>
        <v>0</v>
      </c>
      <c r="G7" s="5" t="e">
        <f ca="1">OFFSET(todayssatellite!$B$1,MATCH(B7&amp;"_"&amp;C7,todayssatellite!$G:$G,0)-1,0)</f>
        <v>#N/A</v>
      </c>
      <c r="H7" s="6" t="s">
        <v>1635</v>
      </c>
      <c r="I7" s="5" t="s">
        <v>1596</v>
      </c>
      <c r="J7" s="5">
        <v>3</v>
      </c>
      <c r="K7" s="5"/>
      <c r="L7" s="7" t="str">
        <f t="shared" si="0"/>
        <v>◯</v>
      </c>
      <c r="M7" s="5">
        <f>COUNTIFS(todayssatellite!$E:$E,データチェック!I7,todayssatellite!$F:$F,データチェック!J7)</f>
        <v>2</v>
      </c>
      <c r="N7" s="5" t="str">
        <f ca="1">OFFSET(todayssatellite!$B$1,MATCH(I7&amp;"_"&amp;J7,todayssatellite!$G:$G,0)-1,0)</f>
        <v>【今日の人工衛星】9/28 1971年：しんせい M-4Sロケット3号機で打ち上げた日本初の科学衛星（おおすみ、たんせいは試験衛星）であり、初めての本格的な人工衛星である</v>
      </c>
      <c r="O7" s="6" t="s">
        <v>1635</v>
      </c>
      <c r="P7" s="11" t="s">
        <v>1049</v>
      </c>
      <c r="Q7" s="6">
        <v>1</v>
      </c>
      <c r="R7"/>
    </row>
    <row r="8" spans="2:18" x14ac:dyDescent="0.15">
      <c r="B8" s="5" t="s">
        <v>1600</v>
      </c>
      <c r="C8" s="5">
        <v>5</v>
      </c>
      <c r="D8" s="5"/>
      <c r="E8" s="7" t="str">
        <f t="shared" si="1"/>
        <v>◯</v>
      </c>
      <c r="F8" s="5">
        <f>COUNTIFS(todayssatellite!$E:$E,データチェック!B8,todayssatellite!$F:$F,データチェック!C8)</f>
        <v>2</v>
      </c>
      <c r="G8" s="5" t="str">
        <f ca="1">OFFSET(todayssatellite!$B$1,MATCH(B8&amp;"_"&amp;C8,todayssatellite!$G:$G,0)-1,0)</f>
        <v>【今日の人工衛星】2/6 1979年：あやめ1号 N-I 5号機で打ち上げ、静止衛星軌道への投入失敗。日本のかつての苦労が偲ばれます。</v>
      </c>
      <c r="H8" s="6" t="s">
        <v>1635</v>
      </c>
      <c r="I8" s="5" t="s">
        <v>1596</v>
      </c>
      <c r="J8" s="5">
        <v>4</v>
      </c>
      <c r="K8" s="5"/>
      <c r="L8" s="7" t="str">
        <f t="shared" si="0"/>
        <v>◯</v>
      </c>
      <c r="M8" s="5">
        <f>COUNTIFS(todayssatellite!$E:$E,データチェック!I8,todayssatellite!$F:$F,データチェック!J8)</f>
        <v>2</v>
      </c>
      <c r="N8" s="5" t="str">
        <f ca="1">OFFSET(todayssatellite!$B$1,MATCH(I8&amp;"_"&amp;J8,todayssatellite!$G:$G,0)-1,0)</f>
        <v xml:space="preserve">【今日の人工衛星】8/19 1972年：でんぱ(REXS) 電離層・磁気圏観測衛星。打上時のランチャーの角度のズレにより予定と大きく異なる軌道に投入。70時間で故障したが、その軌道により高層大気密度のデータ収集が可能に </v>
      </c>
      <c r="O8" s="6" t="s">
        <v>1635</v>
      </c>
      <c r="P8" s="11" t="s">
        <v>1050</v>
      </c>
      <c r="Q8" s="6">
        <v>1</v>
      </c>
      <c r="R8"/>
    </row>
    <row r="9" spans="2:18" x14ac:dyDescent="0.15">
      <c r="B9" s="5" t="s">
        <v>1600</v>
      </c>
      <c r="C9" s="5">
        <v>6</v>
      </c>
      <c r="D9" s="5"/>
      <c r="E9" s="7" t="str">
        <f t="shared" si="1"/>
        <v>◯</v>
      </c>
      <c r="F9" s="5">
        <f>COUNTIFS(todayssatellite!$E:$E,データチェック!B9,todayssatellite!$F:$F,データチェック!C9)</f>
        <v>2</v>
      </c>
      <c r="G9" s="5" t="str">
        <f ca="1">OFFSET(todayssatellite!$B$1,MATCH(B9&amp;"_"&amp;C9,todayssatellite!$G:$G,0)-1,0)</f>
        <v>【今日の人工衛星】2/22 1980年：あやめ2号 実験用静止通信衛星、失敗したあやめ1号の予備衛星だが、アポジモーターの不具合により衛星軌道への投入は失敗。 1986年：Viking スウェーデンの最初の衛星。</v>
      </c>
      <c r="H9" s="6" t="s">
        <v>1635</v>
      </c>
      <c r="I9" s="5" t="s">
        <v>1599</v>
      </c>
      <c r="J9" s="5">
        <v>1</v>
      </c>
      <c r="K9" s="5"/>
      <c r="L9" s="7" t="str">
        <f t="shared" si="0"/>
        <v>△</v>
      </c>
      <c r="M9" s="5">
        <f>COUNTIFS(todayssatellite!$E:$E,データチェック!I9,todayssatellite!$F:$F,データチェック!J9)</f>
        <v>1</v>
      </c>
      <c r="N9" s="5" t="str">
        <f ca="1">OFFSET(todayssatellite!$B$1,MATCH(I9&amp;"_"&amp;J9,todayssatellite!$G:$G,0)-1,0)</f>
        <v>★1974年の今日2/16 14:00、M-3Cロケット1号機でたんせい2号が打ち上げられました。</v>
      </c>
      <c r="O9" s="6" t="s">
        <v>1635</v>
      </c>
      <c r="P9" s="11" t="s">
        <v>1051</v>
      </c>
      <c r="Q9" s="6">
        <v>1</v>
      </c>
      <c r="R9"/>
    </row>
    <row r="10" spans="2:18" x14ac:dyDescent="0.15">
      <c r="B10" s="5" t="s">
        <v>1600</v>
      </c>
      <c r="C10" s="5">
        <v>7</v>
      </c>
      <c r="D10" s="5"/>
      <c r="E10" s="7" t="str">
        <f t="shared" si="1"/>
        <v>◯</v>
      </c>
      <c r="F10" s="5">
        <f>COUNTIFS(todayssatellite!$E:$E,データチェック!B10,todayssatellite!$F:$F,データチェック!C10)</f>
        <v>2</v>
      </c>
      <c r="G10" s="5" t="str">
        <f ca="1">OFFSET(todayssatellite!$B$1,MATCH(B10&amp;"_"&amp;C10,todayssatellite!$G:$G,0)-1,0)</f>
        <v>【今日の人工衛星】9/3 (14:00打上) 1982年：きく4号 N-Iロケット7号機で打上。三軸制御、太陽電池パドルの展開、能動式熱制御などの技術試験・確認が目的で、実験は成功した</v>
      </c>
      <c r="H10" s="6" t="s">
        <v>1635</v>
      </c>
      <c r="I10" s="5" t="s">
        <v>1599</v>
      </c>
      <c r="J10" s="5">
        <v>2</v>
      </c>
      <c r="K10" s="5"/>
      <c r="L10" s="7" t="str">
        <f t="shared" si="0"/>
        <v>✕</v>
      </c>
      <c r="M10" s="5">
        <f>COUNTIFS(todayssatellite!$E:$E,データチェック!I10,todayssatellite!$F:$F,データチェック!J10)</f>
        <v>0</v>
      </c>
      <c r="N10" s="5" t="e">
        <f ca="1">OFFSET(todayssatellite!$B$1,MATCH(I10&amp;"_"&amp;J10,todayssatellite!$G:$G,0)-1,0)</f>
        <v>#N/A</v>
      </c>
      <c r="O10" s="6" t="s">
        <v>1635</v>
      </c>
      <c r="P10" s="11" t="s">
        <v>1641</v>
      </c>
      <c r="Q10" s="6">
        <v>1</v>
      </c>
      <c r="R10"/>
    </row>
    <row r="11" spans="2:18" x14ac:dyDescent="0.15">
      <c r="B11" s="5" t="s">
        <v>1625</v>
      </c>
      <c r="C11" s="5">
        <v>1</v>
      </c>
      <c r="D11" s="5"/>
      <c r="E11" s="7" t="str">
        <f t="shared" si="1"/>
        <v>◯</v>
      </c>
      <c r="F11" s="5">
        <f>COUNTIFS(todayssatellite!$E:$E,データチェック!B11,todayssatellite!$F:$F,データチェック!C11)</f>
        <v>4</v>
      </c>
      <c r="G11" s="5" t="str">
        <f ca="1">OFFSET(todayssatellite!$B$1,MATCH(B11&amp;"_"&amp;C11,todayssatellite!$G:$G,0)-1,0)</f>
        <v>【今日の人工衛星】2/11 1981年：きく3号　N-IIロケットの静止トランスファ軌道投入性能の確認、大型衛星の開発技術の習得を目的とした。ETS-IVであるがETS-IIIと打上順序が入れ替わったため、打上順につけられた愛称は3号となっている</v>
      </c>
      <c r="H11" s="6" t="s">
        <v>1635</v>
      </c>
      <c r="I11" s="5" t="s">
        <v>1599</v>
      </c>
      <c r="J11" s="5">
        <v>3</v>
      </c>
      <c r="K11" s="5" t="s">
        <v>1627</v>
      </c>
      <c r="L11" s="7" t="str">
        <f t="shared" si="0"/>
        <v>✕</v>
      </c>
      <c r="M11" s="5">
        <f>COUNTIFS(todayssatellite!$E:$E,データチェック!I11,todayssatellite!$F:$F,データチェック!J11)</f>
        <v>0</v>
      </c>
      <c r="N11" s="5" t="e">
        <f ca="1">OFFSET(todayssatellite!$B$1,MATCH(I11&amp;"_"&amp;J11,todayssatellite!$G:$G,0)-1,0)</f>
        <v>#N/A</v>
      </c>
      <c r="O11" s="6" t="s">
        <v>1635</v>
      </c>
      <c r="P11" s="11" t="s">
        <v>1052</v>
      </c>
      <c r="Q11" s="6">
        <v>1</v>
      </c>
      <c r="R11"/>
    </row>
    <row r="12" spans="2:18" x14ac:dyDescent="0.15">
      <c r="B12" s="5" t="s">
        <v>1625</v>
      </c>
      <c r="C12" s="5">
        <v>2</v>
      </c>
      <c r="D12" s="5"/>
      <c r="E12" s="7" t="str">
        <f t="shared" si="1"/>
        <v>✕</v>
      </c>
      <c r="F12" s="5">
        <f>COUNTIFS(todayssatellite!$E:$E,データチェック!B12,todayssatellite!$F:$F,データチェック!C12)</f>
        <v>0</v>
      </c>
      <c r="G12" s="5" t="e">
        <f ca="1">OFFSET(todayssatellite!$B$1,MATCH(B12&amp;"_"&amp;C12,todayssatellite!$G:$G,0)-1,0)</f>
        <v>#N/A</v>
      </c>
      <c r="H12" s="6" t="s">
        <v>1635</v>
      </c>
      <c r="I12" s="5" t="s">
        <v>1599</v>
      </c>
      <c r="J12" s="5">
        <v>4</v>
      </c>
      <c r="K12" s="5"/>
      <c r="L12" s="7" t="str">
        <f t="shared" si="0"/>
        <v>◯</v>
      </c>
      <c r="M12" s="5">
        <f>COUNTIFS(todayssatellite!$E:$E,データチェック!I12,todayssatellite!$F:$F,データチェック!J12)</f>
        <v>2</v>
      </c>
      <c r="N12" s="5" t="str">
        <f ca="1">OFFSET(todayssatellite!$B$1,MATCH(I12&amp;"_"&amp;J12,todayssatellite!$G:$G,0)-1,0)</f>
        <v>【今日の人工衛星】2/21 1979年：はくちょう 日本初のX線天文衛星。打ち上げ失敗したCORSAを3年で作り直して打ち上げたもの。 1981年：ひのとり 日本初の太陽観測衛星。命名は手塚治虫の同名漫画による。約10年間運用された。</v>
      </c>
      <c r="O12" s="6" t="s">
        <v>1635</v>
      </c>
      <c r="P12" s="11" t="s">
        <v>1053</v>
      </c>
      <c r="Q12" s="6">
        <v>1</v>
      </c>
      <c r="R12"/>
    </row>
    <row r="13" spans="2:18" x14ac:dyDescent="0.15">
      <c r="B13" s="5" t="s">
        <v>1625</v>
      </c>
      <c r="C13" s="5">
        <v>3</v>
      </c>
      <c r="D13" s="5"/>
      <c r="E13" s="7" t="str">
        <f t="shared" si="1"/>
        <v>✕</v>
      </c>
      <c r="F13" s="5">
        <f>COUNTIFS(todayssatellite!$E:$E,データチェック!B13,todayssatellite!$F:$F,データチェック!C13)</f>
        <v>0</v>
      </c>
      <c r="G13" s="5" t="e">
        <f ca="1">OFFSET(todayssatellite!$B$1,MATCH(B13&amp;"_"&amp;C13,todayssatellite!$G:$G,0)-1,0)</f>
        <v>#N/A</v>
      </c>
      <c r="H13" s="6" t="s">
        <v>1635</v>
      </c>
      <c r="I13" s="5" t="s">
        <v>1624</v>
      </c>
      <c r="J13" s="5">
        <v>1</v>
      </c>
      <c r="K13" s="5"/>
      <c r="L13" s="7" t="str">
        <f t="shared" si="0"/>
        <v>◯</v>
      </c>
      <c r="M13" s="5">
        <f>COUNTIFS(todayssatellite!$E:$E,データチェック!I13,todayssatellite!$F:$F,データチェック!J13)</f>
        <v>2</v>
      </c>
      <c r="N13" s="5" t="str">
        <f ca="1">OFFSET(todayssatellite!$B$1,MATCH(I13&amp;"_"&amp;J13,todayssatellite!$G:$G,0)-1,0)</f>
        <v>【今日の人工衛星】2/19 1977年：たんせい3号 M-3Hロケットの試験、姿勢制御を実験。ヒートパイプや、誤作動が発生したが、これが後の衛星に活かされている 1988年：さくら3a号 実験用通信衛星さくらの3代目</v>
      </c>
      <c r="O13" s="6" t="s">
        <v>1635</v>
      </c>
      <c r="P13" s="11" t="s">
        <v>1054</v>
      </c>
      <c r="Q13" s="6">
        <v>1</v>
      </c>
      <c r="R13"/>
    </row>
    <row r="14" spans="2:18" x14ac:dyDescent="0.15">
      <c r="B14" s="5" t="s">
        <v>1625</v>
      </c>
      <c r="C14" s="5">
        <v>4</v>
      </c>
      <c r="D14" s="5"/>
      <c r="E14" s="7" t="str">
        <f t="shared" si="1"/>
        <v>◯</v>
      </c>
      <c r="F14" s="5">
        <f>COUNTIFS(todayssatellite!$E:$E,データチェック!B14,todayssatellite!$F:$F,データチェック!C14)</f>
        <v>2</v>
      </c>
      <c r="G14" s="5" t="str">
        <f ca="1">OFFSET(todayssatellite!$B$1,MATCH(B14&amp;"_"&amp;C14,todayssatellite!$G:$G,0)-1,0)</f>
        <v xml:space="preserve">【今日の人工衛星】8/5(UTC) 1983年：さくら2号b 日本の通信衛星。日本時間8月6日にN-IIロケット4号機で打ち上げ。1990年に運用終了。 </v>
      </c>
      <c r="H14" s="6" t="s">
        <v>1635</v>
      </c>
      <c r="I14" s="5" t="s">
        <v>1624</v>
      </c>
      <c r="J14" s="5">
        <v>2</v>
      </c>
      <c r="K14" s="5"/>
      <c r="L14" s="7" t="str">
        <f t="shared" si="0"/>
        <v>◯</v>
      </c>
      <c r="M14" s="5">
        <f>COUNTIFS(todayssatellite!$E:$E,データチェック!I14,todayssatellite!$F:$F,データチェック!J14)</f>
        <v>2</v>
      </c>
      <c r="N14" s="5" t="str">
        <f ca="1">OFFSET(todayssatellite!$B$1,MATCH(I14&amp;"_"&amp;J14,todayssatellite!$G:$G,0)-1,0)</f>
        <v>【今日の人工衛星】2/4 2002年：DASH[高速再突入実験機]・つばさ[民生部品・コンポーネント実証衛星] H-IIA 2号機、 1978年：EXOS-A[きょっこう]オーロラ観測、M-3H 2号機 1983年：さくら2A 静止通信衛星、N-II 3号機</v>
      </c>
      <c r="O14" s="6" t="s">
        <v>1635</v>
      </c>
      <c r="P14" s="11" t="s">
        <v>1055</v>
      </c>
      <c r="Q14" s="6">
        <v>1</v>
      </c>
      <c r="R14"/>
    </row>
    <row r="15" spans="2:18" x14ac:dyDescent="0.15">
      <c r="B15" s="5" t="s">
        <v>1625</v>
      </c>
      <c r="C15" s="5">
        <v>5</v>
      </c>
      <c r="D15" s="5"/>
      <c r="E15" s="7" t="str">
        <f t="shared" si="1"/>
        <v>✕</v>
      </c>
      <c r="F15" s="5">
        <f>COUNTIFS(todayssatellite!$E:$E,データチェック!B15,todayssatellite!$F:$F,データチェック!C15)</f>
        <v>0</v>
      </c>
      <c r="G15" s="5" t="e">
        <f ca="1">OFFSET(todayssatellite!$B$1,MATCH(B15&amp;"_"&amp;C15,todayssatellite!$G:$G,0)-1,0)</f>
        <v>#N/A</v>
      </c>
      <c r="H15" s="6" t="s">
        <v>1635</v>
      </c>
      <c r="I15" s="5" t="s">
        <v>1624</v>
      </c>
      <c r="J15" s="5">
        <v>3</v>
      </c>
      <c r="K15" s="5"/>
      <c r="L15" s="7" t="str">
        <f t="shared" si="0"/>
        <v>◯</v>
      </c>
      <c r="M15" s="5">
        <f>COUNTIFS(todayssatellite!$E:$E,データチェック!I15,todayssatellite!$F:$F,データチェック!J15)</f>
        <v>2</v>
      </c>
      <c r="N15" s="5" t="str">
        <f ca="1">OFFSET(todayssatellite!$B$1,MATCH(I15&amp;"_"&amp;J15,todayssatellite!$G:$G,0)-1,0)</f>
        <v>【今日の人工衛星】9/16 (14:00打上) 1978年：じきけん プラズマ・磁気圏観測衛星。M-3Hロケット3号機で打上。近地点227km、遠地点30,051kmという長楕円軌道で60mアンテナを用い観測を実施</v>
      </c>
      <c r="O15" s="6" t="s">
        <v>1635</v>
      </c>
      <c r="P15" s="11" t="s">
        <v>1056</v>
      </c>
      <c r="Q15" s="6">
        <v>1</v>
      </c>
      <c r="R15"/>
    </row>
    <row r="16" spans="2:18" x14ac:dyDescent="0.15">
      <c r="B16" s="5" t="s">
        <v>1625</v>
      </c>
      <c r="C16" s="5">
        <v>6</v>
      </c>
      <c r="D16" s="5"/>
      <c r="E16" s="7" t="str">
        <f t="shared" si="1"/>
        <v>◯</v>
      </c>
      <c r="F16" s="5">
        <f>COUNTIFS(todayssatellite!$E:$E,データチェック!B16,todayssatellite!$F:$F,データチェック!C16)</f>
        <v>2</v>
      </c>
      <c r="G16" s="5" t="str">
        <f ca="1">OFFSET(todayssatellite!$B$1,MATCH(B16&amp;"_"&amp;C16,todayssatellite!$G:$G,0)-1,0)</f>
        <v xml:space="preserve">【今日の人工衛星】8/2(UTC) 1984年：ひまわり3号 日本の気象衛星。日本時間8/3に種子島からN-IIロケット6号機で打ち上げ。ひまわり2号の不調をカバーするため少し早く打ち上げられた </v>
      </c>
      <c r="H16" s="6" t="s">
        <v>1635</v>
      </c>
      <c r="I16" s="5" t="s">
        <v>1597</v>
      </c>
      <c r="J16" s="5">
        <v>1</v>
      </c>
      <c r="K16" s="5"/>
      <c r="L16" s="7" t="str">
        <f t="shared" si="0"/>
        <v>◯</v>
      </c>
      <c r="M16" s="5">
        <f>COUNTIFS(todayssatellite!$E:$E,データチェック!I16,todayssatellite!$F:$F,データチェック!J16)</f>
        <v>2</v>
      </c>
      <c r="N16" s="5" t="str">
        <f ca="1">OFFSET(todayssatellite!$B$1,MATCH(I16&amp;"_"&amp;J16,todayssatellite!$G:$G,0)-1,0)</f>
        <v>【今日の人工衛星】2/17 1980年：たんせい4号 M-3Sロケットの打ち上げ性能試験、及び後続の科学衛星で使われる様々な技術の試験が目的。</v>
      </c>
      <c r="O16" s="6" t="s">
        <v>1635</v>
      </c>
      <c r="P16" s="11" t="s">
        <v>1057</v>
      </c>
      <c r="Q16" s="6">
        <v>1</v>
      </c>
      <c r="R16"/>
    </row>
    <row r="17" spans="2:18" x14ac:dyDescent="0.15">
      <c r="B17" s="5" t="s">
        <v>1625</v>
      </c>
      <c r="C17" s="5">
        <v>7</v>
      </c>
      <c r="D17" s="5"/>
      <c r="E17" s="7" t="str">
        <f t="shared" si="1"/>
        <v>✕</v>
      </c>
      <c r="F17" s="5">
        <f>COUNTIFS(todayssatellite!$E:$E,データチェック!B17,todayssatellite!$F:$F,データチェック!C17)</f>
        <v>0</v>
      </c>
      <c r="G17" s="5" t="e">
        <f ca="1">OFFSET(todayssatellite!$B$1,MATCH(B17&amp;"_"&amp;C17,todayssatellite!$G:$G,0)-1,0)</f>
        <v>#N/A</v>
      </c>
      <c r="H17" s="6" t="s">
        <v>1635</v>
      </c>
      <c r="I17" s="5" t="s">
        <v>1597</v>
      </c>
      <c r="J17" s="5">
        <v>2</v>
      </c>
      <c r="K17" s="5"/>
      <c r="L17" s="7" t="str">
        <f t="shared" si="0"/>
        <v>△</v>
      </c>
      <c r="M17" s="5">
        <f>COUNTIFS(todayssatellite!$E:$E,データチェック!I17,todayssatellite!$F:$F,データチェック!J17)</f>
        <v>1</v>
      </c>
      <c r="N17" s="5" t="str">
        <f ca="1">OFFSET(todayssatellite!$B$1,MATCH(I17&amp;"_"&amp;J17,todayssatellite!$G:$G,0)-1,0)</f>
        <v>★1981年の今日2/21 9:30、M-3Sロケット2号機で太陽観測衛星ひのとりが打ち上げられました。</v>
      </c>
      <c r="O17" s="6" t="s">
        <v>1635</v>
      </c>
      <c r="P17" s="11" t="s">
        <v>1058</v>
      </c>
      <c r="Q17" s="6">
        <v>1</v>
      </c>
      <c r="R17"/>
    </row>
    <row r="18" spans="2:18" x14ac:dyDescent="0.15">
      <c r="B18" s="5" t="s">
        <v>1625</v>
      </c>
      <c r="C18" s="5">
        <v>8</v>
      </c>
      <c r="D18" s="5"/>
      <c r="E18" s="7" t="str">
        <f t="shared" si="1"/>
        <v>△</v>
      </c>
      <c r="F18" s="5">
        <f>COUNTIFS(todayssatellite!$E:$E,データチェック!B18,todayssatellite!$F:$F,データチェック!C18)</f>
        <v>1</v>
      </c>
      <c r="G18" s="5" t="str">
        <f ca="1">OFFSET(todayssatellite!$B$1,MATCH(B18&amp;"_"&amp;C18,todayssatellite!$G:$G,0)-1,0)</f>
        <v>【今日の人工衛星】2/19 1987年：もも1号 海洋観測衛星。N-IIロケット8号機で打上。日本初の地球観測衛星である。</v>
      </c>
      <c r="H18" s="6" t="s">
        <v>1635</v>
      </c>
      <c r="I18" s="5" t="s">
        <v>1597</v>
      </c>
      <c r="J18" s="5">
        <v>3</v>
      </c>
      <c r="K18" s="5"/>
      <c r="L18" s="7" t="str">
        <f t="shared" si="0"/>
        <v>◯</v>
      </c>
      <c r="M18" s="5">
        <f>COUNTIFS(todayssatellite!$E:$E,データチェック!I18,todayssatellite!$F:$F,データチェック!J18)</f>
        <v>2</v>
      </c>
      <c r="N18" s="5" t="str">
        <f ca="1">OFFSET(todayssatellite!$B$1,MATCH(I18&amp;"_"&amp;J18,todayssatellite!$G:$G,0)-1,0)</f>
        <v>【今日の人工衛星】2/20 1983年：てんま ISASのX線天文衛星2代目。観測運用は2年半にとどまった。 2001年：Odin スウェーデンのサブミリ波観測衛星。酸素分子からなる星間雲の存在を初めて発見。</v>
      </c>
      <c r="O18" s="6" t="s">
        <v>1635</v>
      </c>
      <c r="P18" s="11" t="s">
        <v>1642</v>
      </c>
      <c r="Q18" s="6">
        <v>1</v>
      </c>
      <c r="R18"/>
    </row>
    <row r="19" spans="2:18" x14ac:dyDescent="0.15">
      <c r="B19" s="5" t="s">
        <v>1594</v>
      </c>
      <c r="C19" s="5">
        <v>1</v>
      </c>
      <c r="D19" s="5"/>
      <c r="E19" s="7" t="str">
        <f t="shared" si="1"/>
        <v>◯</v>
      </c>
      <c r="F19" s="5">
        <f>COUNTIFS(todayssatellite!$E:$E,データチェック!B19,todayssatellite!$F:$F,データチェック!C19)</f>
        <v>3</v>
      </c>
      <c r="G19" s="5" t="str">
        <f ca="1">OFFSET(todayssatellite!$B$1,MATCH(B19&amp;"_"&amp;C19,todayssatellite!$G:$G,0)-1,0)</f>
        <v xml:space="preserve">【今日の人工衛星】8/12(UTC) 1986年：あじさい(EGS) H-Iロケット初号機で打ち上げられた測地実験衛星。打ち上げから25年経つ2011年現在も運用中 </v>
      </c>
      <c r="H19" s="6" t="s">
        <v>1635</v>
      </c>
      <c r="I19" s="5" t="s">
        <v>1597</v>
      </c>
      <c r="J19" s="5">
        <v>4</v>
      </c>
      <c r="K19" s="5"/>
      <c r="L19" s="7" t="str">
        <f t="shared" si="0"/>
        <v>✕</v>
      </c>
      <c r="M19" s="5">
        <f>COUNTIFS(todayssatellite!$E:$E,データチェック!I19,todayssatellite!$F:$F,データチェック!J19)</f>
        <v>0</v>
      </c>
      <c r="N19" s="5" t="e">
        <f ca="1">OFFSET(todayssatellite!$B$1,MATCH(I19&amp;"_"&amp;J19,todayssatellite!$G:$G,0)-1,0)</f>
        <v>#N/A</v>
      </c>
      <c r="O19" s="6" t="s">
        <v>1635</v>
      </c>
      <c r="P19" s="11" t="s">
        <v>1643</v>
      </c>
      <c r="Q19" s="6">
        <v>1</v>
      </c>
    </row>
    <row r="20" spans="2:18" x14ac:dyDescent="0.15">
      <c r="B20" s="5" t="s">
        <v>1594</v>
      </c>
      <c r="C20" s="5">
        <v>2</v>
      </c>
      <c r="D20" s="5"/>
      <c r="E20" s="7" t="str">
        <f t="shared" si="1"/>
        <v>◯</v>
      </c>
      <c r="F20" s="5">
        <f>COUNTIFS(todayssatellite!$E:$E,データチェック!B20,todayssatellite!$F:$F,データチェック!C20)</f>
        <v>2</v>
      </c>
      <c r="G20" s="5" t="str">
        <f ca="1">OFFSET(todayssatellite!$B$1,MATCH(B20&amp;"_"&amp;C20,todayssatellite!$G:$G,0)-1,0)</f>
        <v>【今日の人工衛星】8/27 (18:20打上) 1987年：きく5号 H-Iロケット試験機2号機の性能確認と、移動体通信実験のための衛星。静止3軸衛星バスの基盤技術を確立。</v>
      </c>
      <c r="H20" s="6" t="s">
        <v>1635</v>
      </c>
      <c r="I20" s="5" t="s">
        <v>1588</v>
      </c>
      <c r="J20" s="5">
        <v>1</v>
      </c>
      <c r="K20" s="5"/>
      <c r="L20" s="7" t="str">
        <f t="shared" si="0"/>
        <v>◯</v>
      </c>
      <c r="M20" s="5">
        <f>COUNTIFS(todayssatellite!$E:$E,データチェック!I20,todayssatellite!$F:$F,データチェック!J20)</f>
        <v>2</v>
      </c>
      <c r="N20" s="5" t="str">
        <f ca="1">OFFSET(todayssatellite!$B$1,MATCH(I20&amp;"_"&amp;J20,todayssatellite!$G:$G,0)-1,0)</f>
        <v>【今日の人工衛星】1/8 1985年：さきがけ　日本のハレー彗星探査機。8/19に打ち上げられた「すいせい」の姉妹機にあたり、さきがけでの経験が「すいせい」にフィードバックされた。</v>
      </c>
      <c r="O20" s="6" t="s">
        <v>1635</v>
      </c>
      <c r="P20" s="11" t="s">
        <v>1059</v>
      </c>
      <c r="Q20" s="6">
        <v>1</v>
      </c>
    </row>
    <row r="21" spans="2:18" x14ac:dyDescent="0.15">
      <c r="B21" s="5" t="s">
        <v>1594</v>
      </c>
      <c r="C21" s="5">
        <v>3</v>
      </c>
      <c r="D21" s="5"/>
      <c r="E21" s="7" t="str">
        <f t="shared" si="1"/>
        <v>✕</v>
      </c>
      <c r="F21" s="5">
        <f>COUNTIFS(todayssatellite!$E:$E,データチェック!B21,todayssatellite!$F:$F,データチェック!C21)</f>
        <v>0</v>
      </c>
      <c r="G21" s="5" t="e">
        <f ca="1">OFFSET(todayssatellite!$B$1,MATCH(B21&amp;"_"&amp;C21,todayssatellite!$G:$G,0)-1,0)</f>
        <v>#N/A</v>
      </c>
      <c r="H21" s="6" t="s">
        <v>1635</v>
      </c>
      <c r="I21" s="5" t="s">
        <v>1588</v>
      </c>
      <c r="J21" s="5">
        <v>2</v>
      </c>
      <c r="K21" s="5"/>
      <c r="L21" s="7" t="str">
        <f t="shared" si="0"/>
        <v>◯</v>
      </c>
      <c r="M21" s="5">
        <f>COUNTIFS(todayssatellite!$E:$E,データチェック!I21,todayssatellite!$F:$F,データチェック!J21)</f>
        <v>2</v>
      </c>
      <c r="N21" s="5" t="str">
        <f ca="1">OFFSET(todayssatellite!$B$1,MATCH(I21&amp;"_"&amp;J21,todayssatellite!$G:$G,0)-1,0)</f>
        <v xml:space="preserve">【今日の人工衛星】8/18(UTC) 1985年：すいせい ハレー彗星観測を目的とした2機目の宇宙探査機。ハレー彗星からの塵で2回姿勢を乱すも無事に観測を完了 </v>
      </c>
      <c r="O21" s="6" t="s">
        <v>1635</v>
      </c>
      <c r="P21" s="11" t="s">
        <v>1060</v>
      </c>
      <c r="Q21" s="6">
        <v>1</v>
      </c>
    </row>
    <row r="22" spans="2:18" x14ac:dyDescent="0.15">
      <c r="B22" s="5" t="s">
        <v>1594</v>
      </c>
      <c r="C22" s="5">
        <v>4</v>
      </c>
      <c r="D22" s="5"/>
      <c r="E22" s="7" t="str">
        <f t="shared" si="1"/>
        <v>◯</v>
      </c>
      <c r="F22" s="5">
        <f>COUNTIFS(todayssatellite!$E:$E,データチェック!B22,todayssatellite!$F:$F,データチェック!C22)</f>
        <v>2</v>
      </c>
      <c r="G22" s="5" t="str">
        <f ca="1">OFFSET(todayssatellite!$B$1,MATCH(B22&amp;"_"&amp;C22,todayssatellite!$G:$G,0)-1,0)</f>
        <v>【今日の人工衛星】9/16 (18:59打上) 1988年：さくら3号b H-Iロケット4号機で打ち上げられた通信衛星。実験衛星としては3bが最後で、この後は民間の実用衛星が打ち上げられる(1989年のJCSAT～)</v>
      </c>
      <c r="H22" s="6" t="s">
        <v>1635</v>
      </c>
      <c r="I22" s="5" t="s">
        <v>1588</v>
      </c>
      <c r="J22" s="5">
        <v>3</v>
      </c>
      <c r="K22" s="5"/>
      <c r="L22" s="7" t="str">
        <f t="shared" si="0"/>
        <v>◯</v>
      </c>
      <c r="M22" s="5">
        <f>COUNTIFS(todayssatellite!$E:$E,データチェック!I22,todayssatellite!$F:$F,データチェック!J22)</f>
        <v>2</v>
      </c>
      <c r="N22" s="5" t="str">
        <f ca="1">OFFSET(todayssatellite!$B$1,MATCH(I22&amp;"_"&amp;J22,todayssatellite!$G:$G,0)-1,0)</f>
        <v>【今日の人工衛星】2/5 1987年：ASTRO-C[ぎんが]X線天文衛星、M-3SII 3号機で打ち上げ。超新星1987Aの観測に成功。1991年11月1日に大気圏に突入し消滅。</v>
      </c>
      <c r="O22" s="6" t="s">
        <v>1635</v>
      </c>
      <c r="P22" s="11" t="s">
        <v>1061</v>
      </c>
      <c r="Q22" s="6">
        <v>1</v>
      </c>
    </row>
    <row r="23" spans="2:18" x14ac:dyDescent="0.15">
      <c r="B23" s="5" t="s">
        <v>1594</v>
      </c>
      <c r="C23" s="5">
        <v>5</v>
      </c>
      <c r="D23" s="5"/>
      <c r="E23" s="7" t="str">
        <f t="shared" si="1"/>
        <v>◯</v>
      </c>
      <c r="F23" s="5">
        <f>COUNTIFS(todayssatellite!$E:$E,データチェック!B23,todayssatellite!$F:$F,データチェック!C23)</f>
        <v>2</v>
      </c>
      <c r="G23" s="5" t="str">
        <f ca="1">OFFSET(todayssatellite!$B$1,MATCH(B23&amp;"_"&amp;C23,todayssatellite!$G:$G,0)-1,0)</f>
        <v>【今日の人工衛星】9/5(UTC) (日本時間6日4:11打上) 1989年：ひまわり4号。 気象観測衛星。大きなトラブルもなく、順調に運用され、2002年2月に運用終了。</v>
      </c>
      <c r="H23" s="6" t="s">
        <v>1635</v>
      </c>
      <c r="I23" s="5" t="s">
        <v>1588</v>
      </c>
      <c r="J23" s="5">
        <v>4</v>
      </c>
      <c r="K23" s="5"/>
      <c r="L23" s="7" t="str">
        <f t="shared" si="0"/>
        <v>◯</v>
      </c>
      <c r="M23" s="5">
        <f>COUNTIFS(todayssatellite!$E:$E,データチェック!I23,todayssatellite!$F:$F,データチェック!J23)</f>
        <v>2</v>
      </c>
      <c r="N23" s="5" t="str">
        <f ca="1">OFFSET(todayssatellite!$B$1,MATCH(I23&amp;"_"&amp;J23,todayssatellite!$G:$G,0)-1,0)</f>
        <v>【今日の人工衛星】2/21(UTC、日本時間翌22日8:30) 1989年：あけぼの 地球磁気圏観測衛星、設計寿命の1年を大きく越えて、2015年4月23日まで26年間運用された。太陽活動周期2周期(22年)分の観測も達成した。</v>
      </c>
      <c r="O23" s="6" t="s">
        <v>1635</v>
      </c>
      <c r="P23" s="11" t="s">
        <v>1062</v>
      </c>
      <c r="Q23" s="6">
        <v>1</v>
      </c>
    </row>
    <row r="24" spans="2:18" x14ac:dyDescent="0.15">
      <c r="B24" s="5" t="s">
        <v>1594</v>
      </c>
      <c r="C24" s="5">
        <v>6</v>
      </c>
      <c r="D24" s="5"/>
      <c r="E24" s="7" t="str">
        <f t="shared" si="1"/>
        <v>◯</v>
      </c>
      <c r="F24" s="5">
        <f>COUNTIFS(todayssatellite!$E:$E,データチェック!B24,todayssatellite!$F:$F,データチェック!C24)</f>
        <v>2</v>
      </c>
      <c r="G24" s="5" t="str">
        <f ca="1">OFFSET(todayssatellite!$B$1,MATCH(B24&amp;"_"&amp;C24,todayssatellite!$G:$G,0)-1,0)</f>
        <v>【今日の人工衛星】2/7 1990年もも1号b 日本の海洋観測衛星。伸展展開機能実験ペイロード「おりづる」、アマチュア無線衛星「ふじ2号」と同時に打上。</v>
      </c>
      <c r="H24" s="6" t="s">
        <v>1635</v>
      </c>
      <c r="I24" s="5" t="s">
        <v>1588</v>
      </c>
      <c r="J24" s="5">
        <v>5</v>
      </c>
      <c r="K24" s="5"/>
      <c r="L24" s="7" t="str">
        <f t="shared" si="0"/>
        <v>◯</v>
      </c>
      <c r="M24" s="5">
        <f>COUNTIFS(todayssatellite!$E:$E,データチェック!I24,todayssatellite!$F:$F,データチェック!J24)</f>
        <v>2</v>
      </c>
      <c r="N24" s="5" t="str">
        <f ca="1">OFFSET(todayssatellite!$B$1,MATCH(I24&amp;"_"&amp;J24,todayssatellite!$G:$G,0)-1,0)</f>
        <v>【今日の人工衛星】1/24 1990年：MUSES-A[ひてん] 工学実験衛星、M-3SII 5号機で20:46打ち上げ。初のエアロブレーキ実験に成功、日本がスウィングバイを含め衛星を自由に操る技術を習得することができた。</v>
      </c>
      <c r="O24" s="6" t="s">
        <v>1635</v>
      </c>
      <c r="P24" s="11" t="s">
        <v>1063</v>
      </c>
      <c r="Q24" s="6">
        <v>1</v>
      </c>
    </row>
    <row r="25" spans="2:18" x14ac:dyDescent="0.15">
      <c r="B25" s="5" t="s">
        <v>1594</v>
      </c>
      <c r="C25" s="5">
        <v>7</v>
      </c>
      <c r="D25" s="5"/>
      <c r="E25" s="7" t="str">
        <f t="shared" si="1"/>
        <v>◯</v>
      </c>
      <c r="F25" s="5">
        <f>COUNTIFS(todayssatellite!$E:$E,データチェック!B25,todayssatellite!$F:$F,データチェック!C25)</f>
        <v>2</v>
      </c>
      <c r="G25" s="5" t="str">
        <f ca="1">OFFSET(todayssatellite!$B$1,MATCH(B25&amp;"_"&amp;C25,todayssatellite!$G:$G,0)-1,0)</f>
        <v>【今日の人工衛星】8/28 (18:05打上) 1990年：ゆり3号a H-Iロケット7号機で打ち上げた放送衛星。翌1991年に太陽電池に不具合が発生、一部の放送は、ゆり2号b/3号bがサポートした</v>
      </c>
      <c r="H25" s="6" t="s">
        <v>1635</v>
      </c>
      <c r="I25" s="5" t="s">
        <v>1588</v>
      </c>
      <c r="J25" s="5">
        <v>6</v>
      </c>
      <c r="K25" s="5"/>
      <c r="L25" s="7" t="str">
        <f t="shared" si="0"/>
        <v>◯</v>
      </c>
      <c r="M25" s="5">
        <f>COUNTIFS(todayssatellite!$E:$E,データチェック!I25,todayssatellite!$F:$F,データチェック!J25)</f>
        <v>2</v>
      </c>
      <c r="N25" s="5" t="str">
        <f ca="1">OFFSET(todayssatellite!$B$1,MATCH(I25&amp;"_"&amp;J25,todayssatellite!$G:$G,0)-1,0)</f>
        <v>【今日の人工衛星】8/30 1991年：ようこう M-3SIIロケット6号機にて打ち上げられた太陽観測衛星。その後10年3ヶ月に渡り観測を続けた。太陽活動周期(11年)に相当する連続観測は世界初。</v>
      </c>
      <c r="O25" s="6" t="s">
        <v>1635</v>
      </c>
      <c r="P25" s="11" t="s">
        <v>1064</v>
      </c>
      <c r="Q25" s="6">
        <v>1</v>
      </c>
    </row>
    <row r="26" spans="2:18" x14ac:dyDescent="0.15">
      <c r="B26" s="5" t="s">
        <v>1594</v>
      </c>
      <c r="C26" s="5">
        <v>8</v>
      </c>
      <c r="D26" s="5"/>
      <c r="E26" s="7" t="str">
        <f t="shared" si="1"/>
        <v>◯</v>
      </c>
      <c r="F26" s="5">
        <f>COUNTIFS(todayssatellite!$E:$E,データチェック!B26,todayssatellite!$F:$F,データチェック!C26)</f>
        <v>2</v>
      </c>
      <c r="G26" s="5" t="str">
        <f ca="1">OFFSET(todayssatellite!$B$1,MATCH(B26&amp;"_"&amp;C26,todayssatellite!$G:$G,0)-1,0)</f>
        <v xml:space="preserve">【今日の人工衛星】8/25 1991年：ゆり3号b 日本の放送衛星。H-Iロケット8号機で打ち上げられ、ゆり3号aの太陽電池不具合による出力不足を補った。現時点で、種子島から打ち上げた最後の放送衛星。1998年運用停止 </v>
      </c>
      <c r="H26" s="6" t="s">
        <v>1635</v>
      </c>
      <c r="I26" s="5" t="s">
        <v>1588</v>
      </c>
      <c r="J26" s="5">
        <v>7</v>
      </c>
      <c r="K26" s="5"/>
      <c r="L26" s="7" t="str">
        <f t="shared" si="0"/>
        <v>◯</v>
      </c>
      <c r="M26" s="5">
        <f>COUNTIFS(todayssatellite!$E:$E,データチェック!I26,todayssatellite!$F:$F,データチェック!J26)</f>
        <v>2</v>
      </c>
      <c r="N26" s="5" t="str">
        <f ca="1">OFFSET(todayssatellite!$B$1,MATCH(I26&amp;"_"&amp;J26,todayssatellite!$G:$G,0)-1,0)</f>
        <v>【今日の人工衛星】2/20 1993年：あすか 宇宙X線観測衛星。M-3SIIロケット7号機で打上。2000年7月14日の太陽フレアによる地球大気膨張の影響で姿勢が乱れ観測不能に。2001年3月2日に大気圏に突入、消滅した。</v>
      </c>
      <c r="O26" s="6" t="s">
        <v>1635</v>
      </c>
      <c r="P26" s="11" t="s">
        <v>1065</v>
      </c>
      <c r="Q26" s="6">
        <v>1</v>
      </c>
    </row>
    <row r="27" spans="2:18" x14ac:dyDescent="0.15">
      <c r="B27" s="5" t="s">
        <v>1594</v>
      </c>
      <c r="C27" s="5">
        <v>9</v>
      </c>
      <c r="D27" s="5"/>
      <c r="E27" s="7" t="str">
        <f t="shared" si="1"/>
        <v>△</v>
      </c>
      <c r="F27" s="5">
        <f>COUNTIFS(todayssatellite!$E:$E,データチェック!B27,todayssatellite!$F:$F,データチェック!C27)</f>
        <v>1</v>
      </c>
      <c r="G27" s="5" t="str">
        <f ca="1">OFFSET(todayssatellite!$B$1,MATCH(B27&amp;"_"&amp;C27,todayssatellite!$G:$G,0)-1,0)</f>
        <v>★1992年の今日2/11 10:50、H-Iロケット9号機で地球観測衛星ふよう1号が打ち上げられました。</v>
      </c>
      <c r="H27" s="6" t="s">
        <v>1635</v>
      </c>
      <c r="I27" s="5" t="s">
        <v>1588</v>
      </c>
      <c r="J27" s="5">
        <v>8</v>
      </c>
      <c r="K27" s="5" t="s">
        <v>1627</v>
      </c>
      <c r="L27" s="7" t="str">
        <f t="shared" si="0"/>
        <v>◯</v>
      </c>
      <c r="M27" s="5">
        <f>COUNTIFS(todayssatellite!$E:$E,データチェック!I27,todayssatellite!$F:$F,データチェック!J27)</f>
        <v>2</v>
      </c>
      <c r="N27" s="5" t="str">
        <f ca="1">OFFSET(todayssatellite!$B$1,MATCH(I27&amp;"_"&amp;J27,todayssatellite!$G:$G,0)-1,0)</f>
        <v>【今日の人工衛星】1/15 1995年：自立帰還型無人宇宙実験システム(EXPRESS) M-3SIIロケット8号機で打上。軌道再突入試験を目的としていたが実験は失敗。機体はガーナに着陸しており、翌年回収された。</v>
      </c>
      <c r="O27" s="6" t="s">
        <v>1635</v>
      </c>
      <c r="P27" s="11" t="s">
        <v>1644</v>
      </c>
      <c r="Q27" s="6">
        <v>1</v>
      </c>
    </row>
    <row r="28" spans="2:18" x14ac:dyDescent="0.15">
      <c r="B28" s="5" t="s">
        <v>1601</v>
      </c>
      <c r="C28" s="5">
        <v>1</v>
      </c>
      <c r="D28" s="5"/>
      <c r="E28" s="7" t="str">
        <f t="shared" si="1"/>
        <v>◯</v>
      </c>
      <c r="F28" s="5">
        <f>COUNTIFS(todayssatellite!$E:$E,データチェック!B28,todayssatellite!$F:$F,データチェック!C28)</f>
        <v>2</v>
      </c>
      <c r="G28" s="5" t="str">
        <f ca="1">OFFSET(todayssatellite!$B$1,MATCH(B28&amp;"_"&amp;C28,todayssatellite!$G:$G,0)-1,0)</f>
        <v>【今日の人工衛星】2/3(UTC) 1994年：VEP[みょうじょう]H-IIロケット性能確認用ペイロード、OREX[りゅうせい]大気圏再突入実験衛星、H-II 1号機で打ち上げ</v>
      </c>
      <c r="H28" s="6" t="s">
        <v>1635</v>
      </c>
      <c r="I28" s="5" t="s">
        <v>1598</v>
      </c>
      <c r="J28" s="5">
        <v>1</v>
      </c>
      <c r="K28" s="5"/>
      <c r="L28" s="7" t="str">
        <f t="shared" si="0"/>
        <v>◯</v>
      </c>
      <c r="M28" s="5">
        <f>COUNTIFS(todayssatellite!$E:$E,データチェック!I28,todayssatellite!$F:$F,データチェック!J28)</f>
        <v>2</v>
      </c>
      <c r="N28" s="5" t="str">
        <f ca="1">OFFSET(todayssatellite!$B$1,MATCH(I28&amp;"_"&amp;J28,todayssatellite!$G:$G,0)-1,0)</f>
        <v>【今日の人工衛星】2/12 1997年：はるか(MUSES-B) 電波天文衛星。M-Vロケット初号機で打上。地上の電波望遠鏡と連携して巨大な電波望遠鏡と同等の性能を出すVLBIの宇宙側の望遠鏡として打上られ、スペースVLBIを実現した。</v>
      </c>
      <c r="O28" s="6" t="s">
        <v>1635</v>
      </c>
      <c r="P28" s="11" t="s">
        <v>1066</v>
      </c>
      <c r="Q28" s="6">
        <v>1</v>
      </c>
    </row>
    <row r="29" spans="2:18" x14ac:dyDescent="0.15">
      <c r="B29" s="5" t="s">
        <v>1601</v>
      </c>
      <c r="C29" s="5">
        <v>2</v>
      </c>
      <c r="D29" s="5"/>
      <c r="E29" s="7" t="str">
        <f t="shared" si="1"/>
        <v>◯</v>
      </c>
      <c r="F29" s="5">
        <f>COUNTIFS(todayssatellite!$E:$E,データチェック!B29,todayssatellite!$F:$F,データチェック!C29)</f>
        <v>2</v>
      </c>
      <c r="G29" s="5" t="str">
        <f ca="1">OFFSET(todayssatellite!$B$1,MATCH(B29&amp;"_"&amp;C29,todayssatellite!$G:$G,0)-1,0)</f>
        <v>【今日の人工衛星】8/28 (16:50打上) 1994年：きく6号 H-IIロケット試験機2号機により打上。アポジエンジンの不具合により静止軌道投入は出来なかったが、多くの実験は実施された。</v>
      </c>
      <c r="H29" s="6" t="s">
        <v>1635</v>
      </c>
      <c r="I29" s="5" t="s">
        <v>1598</v>
      </c>
      <c r="J29" s="5">
        <v>2</v>
      </c>
      <c r="K29" s="5" t="s">
        <v>1628</v>
      </c>
      <c r="L29" s="8"/>
      <c r="M29" s="9"/>
      <c r="N29" s="9"/>
      <c r="O29" s="6" t="s">
        <v>1635</v>
      </c>
      <c r="P29" s="11" t="s">
        <v>1645</v>
      </c>
      <c r="Q29" s="6">
        <v>1</v>
      </c>
    </row>
    <row r="30" spans="2:18" x14ac:dyDescent="0.15">
      <c r="B30" s="5" t="s">
        <v>1601</v>
      </c>
      <c r="C30" s="5">
        <v>3</v>
      </c>
      <c r="D30" s="5"/>
      <c r="E30" s="7" t="str">
        <f t="shared" si="1"/>
        <v>◯</v>
      </c>
      <c r="F30" s="5">
        <f>COUNTIFS(todayssatellite!$E:$E,データチェック!B30,todayssatellite!$F:$F,データチェック!C30)</f>
        <v>2</v>
      </c>
      <c r="G30" s="5" t="str">
        <f ca="1">OFFSET(todayssatellite!$B$1,MATCH(B30&amp;"_"&amp;C30,todayssatellite!$G:$G,0)-1,0)</f>
        <v>【今日の人工衛星】3/18 1995年：ひまわり5号＋SFU H-IIロケット3号機で打ち上げ。ひまわり5号は、のちのMTSAT-1打ち上げ失敗などにより設計寿命の倍、10年間働くことになる。SFUはスペースシャトルミッションSTS-72で若田飛行士により回収、地球に帰還する。</v>
      </c>
      <c r="H30" s="6" t="s">
        <v>1635</v>
      </c>
      <c r="I30" s="5" t="s">
        <v>1598</v>
      </c>
      <c r="J30" s="5">
        <v>3</v>
      </c>
      <c r="K30" s="5"/>
      <c r="L30" s="7" t="str">
        <f t="shared" si="0"/>
        <v>◯</v>
      </c>
      <c r="M30" s="5">
        <f>COUNTIFS(todayssatellite!$E:$E,データチェック!I30,todayssatellite!$F:$F,データチェック!J30)</f>
        <v>2</v>
      </c>
      <c r="N30" s="5" t="str">
        <f ca="1">OFFSET(todayssatellite!$B$1,MATCH(I30&amp;"_"&amp;J30,todayssatellite!$G:$G,0)-1,0)</f>
        <v>【今日の人工衛星】7/3(UTC) 1998年：のぞみ 火星探査機。月の裏側を撮影、旧ソ連・米国に次ぎ3番目となる。度重なる故障、月で2回、地球で3回のスイングバイを経て火星近くに到達するも軌道投入はかなわず</v>
      </c>
      <c r="O30" s="6" t="s">
        <v>1635</v>
      </c>
      <c r="P30" s="11" t="s">
        <v>1646</v>
      </c>
      <c r="Q30" s="6">
        <v>1</v>
      </c>
    </row>
    <row r="31" spans="2:18" x14ac:dyDescent="0.15">
      <c r="B31" s="5" t="s">
        <v>1601</v>
      </c>
      <c r="C31" s="5">
        <v>4</v>
      </c>
      <c r="D31" s="5"/>
      <c r="E31" s="7" t="str">
        <f t="shared" si="1"/>
        <v>◯</v>
      </c>
      <c r="F31" s="5">
        <f>COUNTIFS(todayssatellite!$E:$E,データチェック!B31,todayssatellite!$F:$F,データチェック!C31)</f>
        <v>2</v>
      </c>
      <c r="G31" s="5" t="str">
        <f ca="1">OFFSET(todayssatellite!$B$1,MATCH(B31&amp;"_"&amp;C31,todayssatellite!$G:$G,0)-1,0)</f>
        <v xml:space="preserve">【今日の人工衛星】8/17 1996年：みどり(ADEOS) 地球観測プラットフォーム衛星。大気・海洋・陸域観測結果の成果は大きかったが、太陽電池パドルのブランケットが破断し10ヶ月で運用停止。 </v>
      </c>
      <c r="H31" s="6" t="s">
        <v>1635</v>
      </c>
      <c r="I31" s="5" t="s">
        <v>1598</v>
      </c>
      <c r="J31" s="5">
        <v>4</v>
      </c>
      <c r="K31" s="5" t="s">
        <v>1627</v>
      </c>
      <c r="L31" s="7" t="str">
        <f t="shared" si="0"/>
        <v>◯</v>
      </c>
      <c r="M31" s="5">
        <f>COUNTIFS(todayssatellite!$E:$E,データチェック!I31,todayssatellite!$F:$F,データチェック!J31)</f>
        <v>2</v>
      </c>
      <c r="N31" s="5" t="str">
        <f ca="1">OFFSET(todayssatellite!$B$1,MATCH(I31&amp;"_"&amp;J31,todayssatellite!$G:$G,0)-1,0)</f>
        <v>【今日の人工衛星】2/10 2000年：ASTRO-E X線天文衛星。M-Vロケット4号機で打ち上げたが、1段目のノズル破損により速度不足となり、打上に失敗した。</v>
      </c>
      <c r="O31" s="6" t="s">
        <v>1635</v>
      </c>
      <c r="P31" s="11" t="s">
        <v>1647</v>
      </c>
      <c r="Q31" s="6">
        <v>1</v>
      </c>
    </row>
    <row r="32" spans="2:18" x14ac:dyDescent="0.15">
      <c r="B32" s="5" t="s">
        <v>1601</v>
      </c>
      <c r="C32" s="5">
        <v>5</v>
      </c>
      <c r="D32" s="5"/>
      <c r="E32" s="7" t="str">
        <f t="shared" si="1"/>
        <v>◯</v>
      </c>
      <c r="F32" s="5">
        <f>COUNTIFS(todayssatellite!$E:$E,データチェック!B32,todayssatellite!$F:$F,データチェック!C32)</f>
        <v>2</v>
      </c>
      <c r="G32" s="5" t="str">
        <f ca="1">OFFSET(todayssatellite!$B$1,MATCH(B32&amp;"_"&amp;C32,todayssatellite!$G:$G,0)-1,0)</f>
        <v>【今日の人工衛星】2/21 1998年：かけはし 通信放送技術衛星。移動体通信の実験が目的。H-IIロケット5号機で打上られたが、2段目の燃焼が短く、静止軌道への投入は失敗した。低軌道でも行える実験は実施された。</v>
      </c>
      <c r="H32" s="6" t="s">
        <v>1635</v>
      </c>
      <c r="I32" s="5" t="s">
        <v>1598</v>
      </c>
      <c r="J32" s="5">
        <v>5</v>
      </c>
      <c r="K32" s="5"/>
      <c r="L32" s="7" t="str">
        <f t="shared" si="0"/>
        <v>◯</v>
      </c>
      <c r="M32" s="5">
        <f>COUNTIFS(todayssatellite!$E:$E,データチェック!I32,todayssatellite!$F:$F,データチェック!J32)</f>
        <v>7</v>
      </c>
      <c r="N32" s="5" t="str">
        <f ca="1">OFFSET(todayssatellite!$B$1,MATCH(I32&amp;"_"&amp;J32,todayssatellite!$G:$G,0)-1,0)</f>
        <v>【今日の人工衛星】5/9 2003年：はやぶさ（MUSES-C） 小惑星探査機、工学実験機。小惑星1998-SF36(打ち上げ後にイトカワと命名)との往復、サンプルリターンに成功。2010年6月13日に地球に帰還。</v>
      </c>
      <c r="O32" s="6" t="s">
        <v>1635</v>
      </c>
      <c r="P32" s="11" t="s">
        <v>1648</v>
      </c>
      <c r="Q32" s="6">
        <v>1</v>
      </c>
    </row>
    <row r="33" spans="2:17" x14ac:dyDescent="0.15">
      <c r="B33" s="5" t="s">
        <v>1601</v>
      </c>
      <c r="C33" s="5">
        <v>6</v>
      </c>
      <c r="D33" s="5"/>
      <c r="E33" s="7" t="str">
        <f t="shared" si="1"/>
        <v>◯</v>
      </c>
      <c r="F33" s="5">
        <f>COUNTIFS(todayssatellite!$E:$E,データチェック!B33,todayssatellite!$F:$F,データチェック!C33)</f>
        <v>3</v>
      </c>
      <c r="G33" s="5" t="str">
        <f ca="1">OFFSET(todayssatellite!$B$1,MATCH(B33&amp;"_"&amp;C33,todayssatellite!$G:$G,0)-1,0)</f>
        <v>【今日の人工衛星】11/27(UTC,日本時間28日6:27) 1997年：きく7号(おりひめ・ひこぼし) 軌道上での人工衛星の自動ランデブー・ドッキング技術を習得した衛星。この技術は後にHTV(こうのとり)にも活用、高い評価を得た。</v>
      </c>
      <c r="H33" s="6" t="s">
        <v>1635</v>
      </c>
      <c r="I33" s="5" t="s">
        <v>1598</v>
      </c>
      <c r="J33" s="5">
        <v>6</v>
      </c>
      <c r="K33" s="5"/>
      <c r="L33" s="7" t="str">
        <f t="shared" si="0"/>
        <v>◯</v>
      </c>
      <c r="M33" s="5">
        <f>COUNTIFS(todayssatellite!$E:$E,データチェック!I33,todayssatellite!$F:$F,データチェック!J33)</f>
        <v>2</v>
      </c>
      <c r="N33" s="5" t="str">
        <f ca="1">OFFSET(todayssatellite!$B$1,MATCH(I33&amp;"_"&amp;J33,todayssatellite!$G:$G,0)-1,0)</f>
        <v>【今日の人工衛星】7/10 2005年：すざく あすかに続く5機目の日本のX線天文衛星であり、2000年に打ち上げ失敗したASTRO-Eの代替機。液体ヘリウム喪失事故があったものの、2015年6月まで運用は継続された。2025年1月に大気圏再突入。</v>
      </c>
      <c r="O33" s="6" t="s">
        <v>1635</v>
      </c>
      <c r="P33" s="11" t="s">
        <v>1649</v>
      </c>
      <c r="Q33" s="6">
        <v>1</v>
      </c>
    </row>
    <row r="34" spans="2:17" x14ac:dyDescent="0.15">
      <c r="B34" s="5" t="s">
        <v>1601</v>
      </c>
      <c r="C34" s="5">
        <v>7</v>
      </c>
      <c r="D34" s="5" t="s">
        <v>1628</v>
      </c>
      <c r="E34" s="8"/>
      <c r="F34" s="9"/>
      <c r="G34" s="9"/>
      <c r="H34" s="6" t="s">
        <v>1635</v>
      </c>
      <c r="I34" s="5" t="s">
        <v>1598</v>
      </c>
      <c r="J34" s="5">
        <v>7</v>
      </c>
      <c r="K34" s="5"/>
      <c r="L34" s="7" t="str">
        <f t="shared" si="0"/>
        <v>◯</v>
      </c>
      <c r="M34" s="5">
        <f>COUNTIFS(todayssatellite!$E:$E,データチェック!I34,todayssatellite!$F:$F,データチェック!J34)</f>
        <v>4</v>
      </c>
      <c r="N34" s="5" t="str">
        <f ca="1">OFFSET(todayssatellite!$B$1,MATCH(I34&amp;"_"&amp;J34,todayssatellite!$G:$G,0)-1,0)</f>
        <v>【今日の人工衛星】9/22(UTC、日本時間23日6:36打上) 2006年：ひので 太陽観測衛星。M-Vロケット7号機で打上（M-V最後の打上）。他の衛星に比べ非常に高い分解能で太陽を精密に観測できる</v>
      </c>
      <c r="O34" s="6" t="s">
        <v>1635</v>
      </c>
      <c r="P34" s="11" t="s">
        <v>1650</v>
      </c>
      <c r="Q34" s="6">
        <v>1</v>
      </c>
    </row>
    <row r="35" spans="2:17" x14ac:dyDescent="0.15">
      <c r="B35" s="5" t="s">
        <v>1601</v>
      </c>
      <c r="C35" s="5">
        <v>8</v>
      </c>
      <c r="D35" s="5"/>
      <c r="E35" s="7" t="str">
        <f t="shared" si="1"/>
        <v>◯</v>
      </c>
      <c r="F35" s="5">
        <f>COUNTIFS(todayssatellite!$E:$E,データチェック!B35,todayssatellite!$F:$F,データチェック!C35)</f>
        <v>2</v>
      </c>
      <c r="G35" s="5" t="str">
        <f ca="1">OFFSET(todayssatellite!$B$1,MATCH(B35&amp;"_"&amp;C35,todayssatellite!$G:$G,0)-1,0)</f>
        <v>【今日の人工衛星】11/15 1999年：みらい/H-IIロケット8号機 ひまわり5号の代替となる衛星となる予定だったが打上が失敗。LE-7エンジンは3000mの海底から回収・分析され、その経験は現行のLE-7Aエンジンに活かされている</v>
      </c>
      <c r="H35" s="6" t="s">
        <v>1635</v>
      </c>
      <c r="I35" s="5" t="s">
        <v>1598</v>
      </c>
      <c r="J35" s="5">
        <v>8</v>
      </c>
      <c r="K35" s="5"/>
      <c r="L35" s="7" t="str">
        <f t="shared" si="0"/>
        <v>◯</v>
      </c>
      <c r="M35" s="5">
        <f>COUNTIFS(todayssatellite!$E:$E,データチェック!I35,todayssatellite!$F:$F,データチェック!J35)</f>
        <v>4</v>
      </c>
      <c r="N35" s="5" t="str">
        <f ca="1">OFFSET(todayssatellite!$B$1,MATCH(I35&amp;"_"&amp;J35,todayssatellite!$G:$G,0)-1,0)</f>
        <v>【今日の人工衛星】2/20(UTC、日本時間翌21日6:28) 2006年：あかり 赤外線天文衛星。赤外線観測のため望遠鏡を冷やす液体ヘリウムを搭載、消費し尽くす前に全天の94%の観測を完了した。バッテリーの劣化等のため、2011年11月24日に運用を終了した。</v>
      </c>
      <c r="O35" s="6" t="s">
        <v>1635</v>
      </c>
      <c r="P35" s="11" t="s">
        <v>1651</v>
      </c>
      <c r="Q35" s="6">
        <v>1</v>
      </c>
    </row>
    <row r="36" spans="2:17" x14ac:dyDescent="0.15">
      <c r="B36" s="5" t="s">
        <v>1590</v>
      </c>
      <c r="C36" s="5">
        <v>1</v>
      </c>
      <c r="D36" s="5"/>
      <c r="E36" s="7" t="str">
        <f t="shared" si="1"/>
        <v>◯</v>
      </c>
      <c r="F36" s="5">
        <f>COUNTIFS(todayssatellite!$E:$E,データチェック!B36,todayssatellite!$F:$F,データチェック!C36)</f>
        <v>2</v>
      </c>
      <c r="G36" s="5" t="str">
        <f ca="1">OFFSET(todayssatellite!$B$1,MATCH(B36&amp;"_"&amp;C36,todayssatellite!$G:$G,0)-1,0)</f>
        <v>【今日の人工衛星】8/29 (16:00打上) 2001年：H-IIAロケット試作機1号機 レーザ測距装置（LRE）と性能確認用ペイロード（VEP-2）を静止トランスファ軌道へ投入、試験は無事成功した</v>
      </c>
      <c r="H36" s="6" t="s">
        <v>1635</v>
      </c>
      <c r="I36" s="5" t="s">
        <v>1622</v>
      </c>
      <c r="J36" s="5">
        <v>1</v>
      </c>
      <c r="K36" s="5"/>
      <c r="L36" s="7" t="str">
        <f t="shared" si="0"/>
        <v>◯</v>
      </c>
      <c r="M36" s="5">
        <f>COUNTIFS(todayssatellite!$E:$E,データチェック!I36,todayssatellite!$F:$F,データチェック!J36)</f>
        <v>2</v>
      </c>
      <c r="N36" s="5" t="str">
        <f ca="1">OFFSET(todayssatellite!$B$1,MATCH(I36&amp;"_"&amp;J36,todayssatellite!$G:$G,0)-1,0)</f>
        <v>【今日の人工衛星】9/14 (14:00打上) 2013年：ひさき 世界初の太陽系内惑星専用の宇宙望遠鏡。イプシロンロケットで打ち上げる小型科学衛星シリーズSPRINTの1号機にあたる。主に惑星の大気を観測。イプシロンロケットの初打上にもあたる</v>
      </c>
      <c r="O36" s="6" t="s">
        <v>1635</v>
      </c>
      <c r="P36" s="11" t="s">
        <v>1652</v>
      </c>
      <c r="Q36" s="6">
        <v>1</v>
      </c>
    </row>
    <row r="37" spans="2:17" x14ac:dyDescent="0.15">
      <c r="B37" s="5" t="s">
        <v>1590</v>
      </c>
      <c r="C37" s="5">
        <v>2</v>
      </c>
      <c r="D37" s="5"/>
      <c r="E37" s="7" t="str">
        <f t="shared" si="1"/>
        <v>△</v>
      </c>
      <c r="F37" s="5">
        <f>COUNTIFS(todayssatellite!$E:$E,データチェック!B37,todayssatellite!$F:$F,データチェック!C37)</f>
        <v>1</v>
      </c>
      <c r="G37" s="5" t="str">
        <f ca="1">OFFSET(todayssatellite!$B$1,MATCH(B37&amp;"_"&amp;C37,todayssatellite!$G:$G,0)-1,0)</f>
        <v>★2002年の今日2/4 11:45、H-IIAロケット2号機でDASH[高速再突入実験機]・つばさ[民生部品・コンポーネント実証衛星]が打ち上げられました。打上自体は成功しましたが、DASHはフェアリングからの分離に失敗しました。</v>
      </c>
      <c r="H37" s="6" t="s">
        <v>1635</v>
      </c>
      <c r="I37" s="5" t="s">
        <v>1622</v>
      </c>
      <c r="J37" s="5">
        <v>2</v>
      </c>
      <c r="K37" s="5"/>
      <c r="L37" s="7" t="str">
        <f t="shared" si="0"/>
        <v>✕</v>
      </c>
      <c r="M37" s="5">
        <f>COUNTIFS(todayssatellite!$E:$E,データチェック!I37,todayssatellite!$F:$F,データチェック!J37)</f>
        <v>0</v>
      </c>
      <c r="N37" s="5" t="e">
        <f ca="1">OFFSET(todayssatellite!$B$1,MATCH(I37&amp;"_"&amp;J37,todayssatellite!$G:$G,0)-1,0)</f>
        <v>#N/A</v>
      </c>
      <c r="O37" s="6" t="s">
        <v>1635</v>
      </c>
      <c r="P37" s="11" t="s">
        <v>1653</v>
      </c>
      <c r="Q37" s="6">
        <v>1</v>
      </c>
    </row>
    <row r="38" spans="2:17" x14ac:dyDescent="0.15">
      <c r="B38" s="5" t="s">
        <v>1590</v>
      </c>
      <c r="C38" s="5">
        <v>3</v>
      </c>
      <c r="D38" s="5"/>
      <c r="E38" s="7" t="str">
        <f t="shared" si="1"/>
        <v>◯</v>
      </c>
      <c r="F38" s="5">
        <f>COUNTIFS(todayssatellite!$E:$E,データチェック!B38,todayssatellite!$F:$F,データチェック!C38)</f>
        <v>3</v>
      </c>
      <c r="G38" s="5" t="str">
        <f ca="1">OFFSET(todayssatellite!$B$1,MATCH(B38&amp;"_"&amp;C38,todayssatellite!$G:$G,0)-1,0)</f>
        <v>【今日の人工衛星】9/10 (17:20打上) 2002年：USERS 無人の自律帰還型回収システムであり、軌道上で宇宙実験を行った結果を地上に持ち帰れるシステム。超電導材料製造実験を行い、無事サンプル回収に成功</v>
      </c>
      <c r="H38" s="6" t="s">
        <v>1635</v>
      </c>
      <c r="I38" s="5" t="s">
        <v>1622</v>
      </c>
      <c r="J38" s="5">
        <v>3</v>
      </c>
      <c r="K38" s="5"/>
      <c r="L38" s="7" t="str">
        <f t="shared" si="0"/>
        <v>✕</v>
      </c>
      <c r="M38" s="5">
        <f>COUNTIFS(todayssatellite!$E:$E,データチェック!I38,todayssatellite!$F:$F,データチェック!J38)</f>
        <v>0</v>
      </c>
      <c r="N38" s="5" t="e">
        <f ca="1">OFFSET(todayssatellite!$B$1,MATCH(I38&amp;"_"&amp;J38,todayssatellite!$G:$G,0)-1,0)</f>
        <v>#N/A</v>
      </c>
      <c r="O38" s="6" t="s">
        <v>1635</v>
      </c>
      <c r="P38" s="11" t="s">
        <v>1067</v>
      </c>
      <c r="Q38" s="6">
        <v>1</v>
      </c>
    </row>
    <row r="39" spans="2:17" x14ac:dyDescent="0.15">
      <c r="B39" s="5" t="s">
        <v>1590</v>
      </c>
      <c r="C39" s="5">
        <v>4</v>
      </c>
      <c r="D39" s="5"/>
      <c r="E39" s="7" t="str">
        <f t="shared" si="1"/>
        <v>◯</v>
      </c>
      <c r="F39" s="5">
        <f>COUNTIFS(todayssatellite!$E:$E,データチェック!B39,todayssatellite!$F:$F,データチェック!C39)</f>
        <v>4</v>
      </c>
      <c r="G39" s="5" t="str">
        <f ca="1">OFFSET(todayssatellite!$B$1,MATCH(B39&amp;"_"&amp;C39,todayssatellite!$G:$G,0)-1,0)</f>
        <v>【今日の人工衛星】12/14 2002年：みどりII 地球観測衛星。太陽電池パネル故障で通信途絶した「みどり」の後継機で、次世代のみどりとして「II」を名乗ったが、約1年で電源の不調により通信途絶。</v>
      </c>
      <c r="H39" s="6" t="s">
        <v>1635</v>
      </c>
      <c r="I39" s="5" t="s">
        <v>1622</v>
      </c>
      <c r="J39" s="5">
        <v>4</v>
      </c>
      <c r="K39" s="5"/>
      <c r="L39" s="7" t="str">
        <f t="shared" si="0"/>
        <v>✕</v>
      </c>
      <c r="M39" s="5">
        <f>COUNTIFS(todayssatellite!$E:$E,データチェック!I39,todayssatellite!$F:$F,データチェック!J39)</f>
        <v>0</v>
      </c>
      <c r="N39" s="5" t="e">
        <f ca="1">OFFSET(todayssatellite!$B$1,MATCH(I39&amp;"_"&amp;J39,todayssatellite!$G:$G,0)-1,0)</f>
        <v>#N/A</v>
      </c>
      <c r="O39" s="6" t="s">
        <v>1635</v>
      </c>
      <c r="P39" s="11" t="s">
        <v>1654</v>
      </c>
      <c r="Q39" s="6">
        <v>1</v>
      </c>
    </row>
    <row r="40" spans="2:17" x14ac:dyDescent="0.15">
      <c r="B40" s="5" t="s">
        <v>1590</v>
      </c>
      <c r="C40" s="5">
        <v>5</v>
      </c>
      <c r="D40" s="5"/>
      <c r="E40" s="7" t="str">
        <f t="shared" si="1"/>
        <v>◯</v>
      </c>
      <c r="F40" s="5">
        <f>COUNTIFS(todayssatellite!$E:$E,データチェック!B40,todayssatellite!$F:$F,データチェック!C40)</f>
        <v>2</v>
      </c>
      <c r="G40" s="5" t="str">
        <f ca="1">OFFSET(todayssatellite!$B$1,MATCH(B40&amp;"_"&amp;C40,todayssatellite!$G:$G,0)-1,0)</f>
        <v>【今日の人工衛星】3/28 2003年：情報収集衛星1号機(光学・レーダ) 日本初の偵察衛星。性能は光学が解像度1m程度と、民間衛星に比べても劣っていた。これ以降継続的に情報収集衛星が軌道上に打ち上げられることになる。</v>
      </c>
      <c r="H40" s="6" t="s">
        <v>1635</v>
      </c>
      <c r="I40" s="5" t="s">
        <v>1622</v>
      </c>
      <c r="J40" s="5">
        <v>5</v>
      </c>
      <c r="K40" s="5"/>
      <c r="L40" s="7" t="str">
        <f t="shared" si="0"/>
        <v>✕</v>
      </c>
      <c r="M40" s="5">
        <f>COUNTIFS(todayssatellite!$E:$E,データチェック!I40,todayssatellite!$F:$F,データチェック!J40)</f>
        <v>0</v>
      </c>
      <c r="N40" s="5" t="e">
        <f ca="1">OFFSET(todayssatellite!$B$1,MATCH(I40&amp;"_"&amp;J40,todayssatellite!$G:$G,0)-1,0)</f>
        <v>#N/A</v>
      </c>
      <c r="O40" s="6" t="s">
        <v>1635</v>
      </c>
      <c r="P40" s="11" t="s">
        <v>1655</v>
      </c>
      <c r="Q40" s="6">
        <v>1</v>
      </c>
    </row>
    <row r="41" spans="2:17" x14ac:dyDescent="0.15">
      <c r="B41" s="5" t="s">
        <v>1590</v>
      </c>
      <c r="C41" s="5">
        <v>6</v>
      </c>
      <c r="D41" s="5" t="s">
        <v>1627</v>
      </c>
      <c r="E41" s="7" t="str">
        <f t="shared" si="1"/>
        <v>◯</v>
      </c>
      <c r="F41" s="5">
        <f>COUNTIFS(todayssatellite!$E:$E,データチェック!B41,todayssatellite!$F:$F,データチェック!C41)</f>
        <v>2</v>
      </c>
      <c r="G41" s="5" t="str">
        <f ca="1">OFFSET(todayssatellite!$B$1,MATCH(B41&amp;"_"&amp;C41,todayssatellite!$G:$G,0)-1,0)</f>
        <v>【今日の人工衛星】11/29 2003年：情報収集衛星光学・レーダー2号機(IGS-2A/B) H-IIAロケット6号機で打上たが、SRB-Aの分離失敗によりロケットが指令破壊され喪失。これ以降実証衛星以外の2機同時打上は行われなくなった</v>
      </c>
      <c r="H41" s="6" t="s">
        <v>1635</v>
      </c>
      <c r="I41" s="5" t="s">
        <v>1622</v>
      </c>
      <c r="J41" s="5">
        <v>6</v>
      </c>
      <c r="K41" s="5" t="s">
        <v>1627</v>
      </c>
      <c r="L41" s="7" t="str">
        <f t="shared" si="0"/>
        <v>✕</v>
      </c>
      <c r="M41" s="5">
        <f>COUNTIFS(todayssatellite!$E:$E,データチェック!I41,todayssatellite!$F:$F,データチェック!J41)</f>
        <v>0</v>
      </c>
      <c r="N41" s="5" t="e">
        <f ca="1">OFFSET(todayssatellite!$B$1,MATCH(I41&amp;"_"&amp;J41,todayssatellite!$G:$G,0)-1,0)</f>
        <v>#N/A</v>
      </c>
      <c r="O41" s="6" t="s">
        <v>1635</v>
      </c>
      <c r="P41" s="11" t="s">
        <v>1656</v>
      </c>
      <c r="Q41" s="6">
        <v>1</v>
      </c>
    </row>
    <row r="42" spans="2:17" x14ac:dyDescent="0.15">
      <c r="B42" s="5" t="s">
        <v>1590</v>
      </c>
      <c r="C42" s="5">
        <v>7</v>
      </c>
      <c r="D42" s="5"/>
      <c r="E42" s="7" t="str">
        <f t="shared" si="1"/>
        <v>◯</v>
      </c>
      <c r="F42" s="5">
        <f>COUNTIFS(todayssatellite!$E:$E,データチェック!B42,todayssatellite!$F:$F,データチェック!C42)</f>
        <v>2</v>
      </c>
      <c r="G42" s="5" t="str">
        <f ca="1">OFFSET(todayssatellite!$B$1,MATCH(B42&amp;"_"&amp;C42,todayssatellite!$G:$G,0)-1,0)</f>
        <v>【今日の人工衛星】2/26 2005年：MTSAT-1R[ひまわり6号] 運輸多目的衛星新1号、日本時間18:25に打ち上げ。H-IIAが日本の空に蘇った日でもある。これ以降H-IIAは連続して打ち上げ成功している。</v>
      </c>
      <c r="H42" s="6" t="s">
        <v>1635</v>
      </c>
      <c r="P42" s="11" t="s">
        <v>1068</v>
      </c>
      <c r="Q42" s="6">
        <v>1</v>
      </c>
    </row>
    <row r="43" spans="2:17" x14ac:dyDescent="0.15">
      <c r="B43" s="5" t="s">
        <v>1590</v>
      </c>
      <c r="C43" s="5">
        <v>8</v>
      </c>
      <c r="D43" s="5"/>
      <c r="E43" s="7" t="str">
        <f t="shared" si="1"/>
        <v>◯</v>
      </c>
      <c r="F43" s="5">
        <f>COUNTIFS(todayssatellite!$E:$E,データチェック!B43,todayssatellite!$F:$F,データチェック!C43)</f>
        <v>2</v>
      </c>
      <c r="G43" s="5" t="str">
        <f ca="1">OFFSET(todayssatellite!$B$1,MATCH(B43&amp;"_"&amp;C43,todayssatellite!$G:$G,0)-1,0)</f>
        <v>【今日の人工衛星】1/24 2006年：ALOS[だいち] 地球観測衛星、H-IIA 8号機で10:33に打ち上げ。東日本大震災直後の被災地の観測も行っていたが、2011年4月22日に活動が停止してしまい、5月12日に運用が停止された。</v>
      </c>
      <c r="H43" s="6" t="s">
        <v>1635</v>
      </c>
      <c r="P43" s="11" t="s">
        <v>1069</v>
      </c>
      <c r="Q43" s="6">
        <v>1</v>
      </c>
    </row>
    <row r="44" spans="2:17" x14ac:dyDescent="0.15">
      <c r="B44" s="5" t="s">
        <v>1590</v>
      </c>
      <c r="C44" s="5">
        <v>9</v>
      </c>
      <c r="D44" s="5"/>
      <c r="E44" s="7" t="str">
        <f t="shared" si="1"/>
        <v>◯</v>
      </c>
      <c r="F44" s="5">
        <f>COUNTIFS(todayssatellite!$E:$E,データチェック!B44,todayssatellite!$F:$F,データチェック!C44)</f>
        <v>2</v>
      </c>
      <c r="G44" s="5" t="str">
        <f ca="1">OFFSET(todayssatellite!$B$1,MATCH(B44&amp;"_"&amp;C44,todayssatellite!$G:$G,0)-1,0)</f>
        <v>【今日の人工衛星】2/18 2006年：MTSAT-2[ひまわり7号] 運輸多目的衛星。気象観測ミッションは2010年より本番運用に入った。2015年7月には後継機の8号に気象観測を引き継ぎ、9号打上により待機運用も終了。航空管制運用も2020年3月に終了した。</v>
      </c>
      <c r="H44" s="6" t="s">
        <v>1635</v>
      </c>
      <c r="P44" s="11" t="s">
        <v>1070</v>
      </c>
      <c r="Q44" s="6">
        <v>1</v>
      </c>
    </row>
    <row r="45" spans="2:17" x14ac:dyDescent="0.15">
      <c r="B45" s="5" t="s">
        <v>1590</v>
      </c>
      <c r="C45" s="5">
        <v>10</v>
      </c>
      <c r="D45" s="5"/>
      <c r="E45" s="7" t="str">
        <f t="shared" si="1"/>
        <v>◯</v>
      </c>
      <c r="F45" s="5">
        <f>COUNTIFS(todayssatellite!$E:$E,データチェック!B45,todayssatellite!$F:$F,データチェック!C45)</f>
        <v>2</v>
      </c>
      <c r="G45" s="5" t="str">
        <f ca="1">OFFSET(todayssatellite!$B$1,MATCH(B45&amp;"_"&amp;C45,todayssatellite!$G:$G,0)-1,0)</f>
        <v>【今日の人工衛星】9/11 (13:35打上) 2006年：情報収集衛星光学2号機(IGS-3A) 日本の偵察衛星。H-IIA6号機の失敗をうけ、今回から1機ずつの打上となった。2013年11月に運用停止、2016年10月に大気圏に再突入して消滅した。</v>
      </c>
      <c r="H45" s="6" t="s">
        <v>1635</v>
      </c>
      <c r="P45" s="11" t="s">
        <v>1657</v>
      </c>
      <c r="Q45" s="6">
        <v>1</v>
      </c>
    </row>
    <row r="46" spans="2:17" x14ac:dyDescent="0.15">
      <c r="B46" s="5" t="s">
        <v>1590</v>
      </c>
      <c r="C46" s="5">
        <v>11</v>
      </c>
      <c r="D46" s="5"/>
      <c r="E46" s="7" t="str">
        <f t="shared" si="1"/>
        <v>◯</v>
      </c>
      <c r="F46" s="5">
        <f>COUNTIFS(todayssatellite!$E:$E,データチェック!B46,todayssatellite!$F:$F,データチェック!C46)</f>
        <v>2</v>
      </c>
      <c r="G46" s="5" t="str">
        <f ca="1">OFFSET(todayssatellite!$B$1,MATCH(B46&amp;"_"&amp;C46,todayssatellite!$G:$G,0)-1,0)</f>
        <v>【今日の人工衛星】12/18 2006年：きく8号 移動体通信の実験のための通信衛星。テニスコート相当のサイズのアンテナを2枚もち、小型の携帯電話でも衛星通信を実現。東日本大震災でも被災地の一部の自治体への通信支援を実施した</v>
      </c>
      <c r="H46" s="6" t="s">
        <v>1635</v>
      </c>
      <c r="P46" s="11" t="s">
        <v>1071</v>
      </c>
      <c r="Q46" s="6">
        <v>1</v>
      </c>
    </row>
    <row r="47" spans="2:17" x14ac:dyDescent="0.15">
      <c r="B47" s="5" t="s">
        <v>1590</v>
      </c>
      <c r="C47" s="5">
        <v>12</v>
      </c>
      <c r="D47" s="5"/>
      <c r="E47" s="7" t="str">
        <f t="shared" si="1"/>
        <v>◯</v>
      </c>
      <c r="F47" s="5">
        <f>COUNTIFS(todayssatellite!$E:$E,データチェック!B47,todayssatellite!$F:$F,データチェック!C47)</f>
        <v>2</v>
      </c>
      <c r="G47" s="5" t="str">
        <f ca="1">OFFSET(todayssatellite!$B$1,MATCH(B47&amp;"_"&amp;C47,todayssatellite!$G:$G,0)-1,0)</f>
        <v>【今日の人工衛星】2/24 2007年：IGS 4A/B 情報収集衛星(レーダー2号/光学3号機実証機)4Aは電源のトラブルにより2010年に運用停止。</v>
      </c>
      <c r="H47" s="6" t="s">
        <v>1635</v>
      </c>
      <c r="P47" s="11" t="s">
        <v>1072</v>
      </c>
      <c r="Q47" s="6">
        <v>1</v>
      </c>
    </row>
    <row r="48" spans="2:17" x14ac:dyDescent="0.15">
      <c r="B48" s="5" t="s">
        <v>1590</v>
      </c>
      <c r="C48" s="5">
        <v>13</v>
      </c>
      <c r="D48" s="5"/>
      <c r="E48" s="7" t="str">
        <f t="shared" si="1"/>
        <v>◯</v>
      </c>
      <c r="F48" s="5">
        <f>COUNTIFS(todayssatellite!$E:$E,データチェック!B48,todayssatellite!$F:$F,データチェック!C48)</f>
        <v>2</v>
      </c>
      <c r="G48" s="5" t="str">
        <f ca="1">OFFSET(todayssatellite!$B$1,MATCH(B48&amp;"_"&amp;C48,todayssatellite!$G:$G,0)-1,0)</f>
        <v>【今日の人工衛星】9/14 (10:31打上) 2007年：かぐや 日本の月探査機。2つの子衛星をもち、さまざまな観測を行った。NHKのハイビジョンカメラが撮影した映像が話題になり、宇宙への関心が高まった</v>
      </c>
      <c r="H48" s="6" t="s">
        <v>1635</v>
      </c>
      <c r="P48" s="11" t="s">
        <v>1073</v>
      </c>
      <c r="Q48" s="6">
        <v>1</v>
      </c>
    </row>
    <row r="49" spans="2:17" x14ac:dyDescent="0.15">
      <c r="B49" s="5" t="s">
        <v>1590</v>
      </c>
      <c r="C49" s="5">
        <v>14</v>
      </c>
      <c r="D49" s="5"/>
      <c r="E49" s="7" t="str">
        <f t="shared" si="1"/>
        <v>◯</v>
      </c>
      <c r="F49" s="5">
        <f>COUNTIFS(todayssatellite!$E:$E,データチェック!B49,todayssatellite!$F:$F,データチェック!C49)</f>
        <v>2</v>
      </c>
      <c r="G49" s="5" t="str">
        <f ca="1">OFFSET(todayssatellite!$B$1,MATCH(B49&amp;"_"&amp;C49,todayssatellite!$G:$G,0)-1,0)</f>
        <v>【今日の人工衛星】2/23 2008年：きずな(WINDS) 超高速インターネット衛星、最大で3.2Gbpsの当時世界最高速の通信を実施した。通信が回復しないことから2019/02/27に運用を停止した https://www.jaxa.jp/press/2019/03/20190301a_j.html</v>
      </c>
      <c r="H49" s="6" t="s">
        <v>1635</v>
      </c>
      <c r="P49" s="11" t="s">
        <v>1074</v>
      </c>
      <c r="Q49" s="6">
        <v>1</v>
      </c>
    </row>
    <row r="50" spans="2:17" x14ac:dyDescent="0.15">
      <c r="B50" s="5" t="s">
        <v>1590</v>
      </c>
      <c r="C50" s="5">
        <v>15</v>
      </c>
      <c r="D50" s="5"/>
      <c r="E50" s="7" t="str">
        <f t="shared" si="1"/>
        <v>◯</v>
      </c>
      <c r="F50" s="5">
        <f>COUNTIFS(todayssatellite!$E:$E,データチェック!B50,todayssatellite!$F:$F,データチェック!C50)</f>
        <v>9</v>
      </c>
      <c r="G50" s="5" t="str">
        <f ca="1">OFFSET(todayssatellite!$B$1,MATCH(B50&amp;"_"&amp;C50,todayssatellite!$G:$G,0)-1,0)</f>
        <v>【今日の人工衛星】1/23 2009年：いぶき　日本の地球観測衛星。温室効果ガス測定を目的としている。当初の計画に変更が加えられ、京都議定書への寄与する観測に重点が絞られている</v>
      </c>
      <c r="H50" s="6" t="s">
        <v>1635</v>
      </c>
      <c r="P50" s="11" t="s">
        <v>1075</v>
      </c>
      <c r="Q50" s="6">
        <v>1</v>
      </c>
    </row>
    <row r="51" spans="2:17" x14ac:dyDescent="0.15">
      <c r="B51" s="5" t="s">
        <v>1590</v>
      </c>
      <c r="C51" s="5">
        <v>16</v>
      </c>
      <c r="D51" s="5"/>
      <c r="E51" s="7" t="str">
        <f t="shared" si="1"/>
        <v>◯</v>
      </c>
      <c r="F51" s="5">
        <f>COUNTIFS(todayssatellite!$E:$E,データチェック!B51,todayssatellite!$F:$F,データチェック!C51)</f>
        <v>2</v>
      </c>
      <c r="G51" s="5" t="str">
        <f ca="1">OFFSET(todayssatellite!$B$1,MATCH(B51&amp;"_"&amp;C51,todayssatellite!$G:$G,0)-1,0)</f>
        <v>【今日の人工衛星】11/28 2009年：情報収集衛星光学3号機(IGS-5A) 日本の事実上の偵察衛星の(失敗分を含めて)8機目。分解能は60cm級とされる。H-IIAロケット16号機で打上。2017年9月に運用停止。 https://www.cas.go.jp/jp/houdou/pdf/170915satellite.pdf</v>
      </c>
      <c r="H51" s="6" t="s">
        <v>1635</v>
      </c>
      <c r="P51" s="11" t="s">
        <v>1076</v>
      </c>
      <c r="Q51" s="6">
        <v>1</v>
      </c>
    </row>
    <row r="52" spans="2:17" x14ac:dyDescent="0.15">
      <c r="B52" s="5" t="s">
        <v>1590</v>
      </c>
      <c r="C52" s="5">
        <v>17</v>
      </c>
      <c r="D52" s="5"/>
      <c r="E52" s="7" t="str">
        <f t="shared" si="1"/>
        <v>◯</v>
      </c>
      <c r="F52" s="5">
        <f>COUNTIFS(todayssatellite!$E:$E,データチェック!B52,todayssatellite!$F:$F,データチェック!C52)</f>
        <v>6</v>
      </c>
      <c r="G52" s="5" t="str">
        <f ca="1">OFFSET(todayssatellite!$B$1,MATCH(B52&amp;"_"&amp;C52,todayssatellite!$G:$G,0)-1,0)</f>
        <v>【今日の人工衛星】5/20(UTC) 2010年：あかつき、IKAROS 日本の金星探査機とソーラー電力セイル実験機。あかつきの初回の金星軌道投入は失敗、IKAROSの実験が先行して大成功を収めた。あかつきも5年後の2015年に軌道投入に成功、2024年まで科学観測を行った。</v>
      </c>
      <c r="H52" s="6" t="s">
        <v>1635</v>
      </c>
      <c r="P52" s="11" t="s">
        <v>1658</v>
      </c>
      <c r="Q52" s="6">
        <v>1</v>
      </c>
    </row>
    <row r="53" spans="2:17" x14ac:dyDescent="0.15">
      <c r="B53" s="5" t="s">
        <v>1590</v>
      </c>
      <c r="C53" s="5">
        <v>18</v>
      </c>
      <c r="D53" s="5"/>
      <c r="E53" s="7" t="str">
        <f t="shared" si="1"/>
        <v>◯</v>
      </c>
      <c r="F53" s="5">
        <f>COUNTIFS(todayssatellite!$E:$E,データチェック!B53,todayssatellite!$F:$F,データチェック!C53)</f>
        <v>2</v>
      </c>
      <c r="G53" s="5" t="str">
        <f ca="1">OFFSET(todayssatellite!$B$1,MATCH(B53&amp;"_"&amp;C53,todayssatellite!$G:$G,0)-1,0)</f>
        <v>【今日の人工衛星】9/11 (20:17打上) 2010年：みちびき 準天頂衛星初号機。GPS補完信号を送信し精度を補完。twitter上では@QZSS が毎日挨拶をしてくれていましたが、内閣府に移管されて挨拶終了となりました</v>
      </c>
      <c r="H53" s="6" t="s">
        <v>1635</v>
      </c>
      <c r="P53" s="11" t="s">
        <v>1077</v>
      </c>
      <c r="Q53" s="6">
        <v>1</v>
      </c>
    </row>
    <row r="54" spans="2:17" x14ac:dyDescent="0.15">
      <c r="B54" s="5" t="s">
        <v>1590</v>
      </c>
      <c r="C54" s="5">
        <v>19</v>
      </c>
      <c r="D54" s="5"/>
      <c r="E54" s="7" t="str">
        <f t="shared" si="1"/>
        <v>✕</v>
      </c>
      <c r="F54" s="5">
        <f>COUNTIFS(todayssatellite!$E:$E,データチェック!B54,todayssatellite!$F:$F,データチェック!C54)</f>
        <v>0</v>
      </c>
      <c r="G54" s="5" t="e">
        <f ca="1">OFFSET(todayssatellite!$B$1,MATCH(B54&amp;"_"&amp;C54,todayssatellite!$G:$G,0)-1,0)</f>
        <v>#N/A</v>
      </c>
      <c r="H54" s="6" t="s">
        <v>1635</v>
      </c>
      <c r="P54" s="11" t="s">
        <v>1659</v>
      </c>
      <c r="Q54" s="6">
        <v>1</v>
      </c>
    </row>
    <row r="55" spans="2:17" x14ac:dyDescent="0.15">
      <c r="B55" s="5" t="s">
        <v>1590</v>
      </c>
      <c r="C55" s="5">
        <v>20</v>
      </c>
      <c r="D55" s="5"/>
      <c r="E55" s="7" t="str">
        <f t="shared" si="1"/>
        <v>✕</v>
      </c>
      <c r="F55" s="5">
        <f>COUNTIFS(todayssatellite!$E:$E,データチェック!B55,todayssatellite!$F:$F,データチェック!C55)</f>
        <v>0</v>
      </c>
      <c r="G55" s="5" t="e">
        <f ca="1">OFFSET(todayssatellite!$B$1,MATCH(B55&amp;"_"&amp;C55,todayssatellite!$G:$G,0)-1,0)</f>
        <v>#N/A</v>
      </c>
      <c r="H55" s="6" t="s">
        <v>1635</v>
      </c>
      <c r="P55" s="11" t="s">
        <v>1078</v>
      </c>
      <c r="Q55" s="6">
        <v>1</v>
      </c>
    </row>
    <row r="56" spans="2:17" x14ac:dyDescent="0.15">
      <c r="B56" s="5" t="s">
        <v>1590</v>
      </c>
      <c r="C56" s="5">
        <v>21</v>
      </c>
      <c r="D56" s="5"/>
      <c r="E56" s="7" t="str">
        <f t="shared" si="1"/>
        <v>✕</v>
      </c>
      <c r="F56" s="5">
        <f>COUNTIFS(todayssatellite!$E:$E,データチェック!B56,todayssatellite!$F:$F,データチェック!C56)</f>
        <v>0</v>
      </c>
      <c r="G56" s="5" t="e">
        <f ca="1">OFFSET(todayssatellite!$B$1,MATCH(B56&amp;"_"&amp;C56,todayssatellite!$G:$G,0)-1,0)</f>
        <v>#N/A</v>
      </c>
      <c r="H56" s="6" t="s">
        <v>1635</v>
      </c>
      <c r="P56" s="11" t="s">
        <v>1660</v>
      </c>
      <c r="Q56" s="6">
        <v>1</v>
      </c>
    </row>
    <row r="57" spans="2:17" x14ac:dyDescent="0.15">
      <c r="B57" s="5" t="s">
        <v>1590</v>
      </c>
      <c r="C57" s="5">
        <v>22</v>
      </c>
      <c r="D57" s="5"/>
      <c r="E57" s="7" t="str">
        <f t="shared" si="1"/>
        <v>✕</v>
      </c>
      <c r="F57" s="5">
        <f>COUNTIFS(todayssatellite!$E:$E,データチェック!B57,todayssatellite!$F:$F,データチェック!C57)</f>
        <v>0</v>
      </c>
      <c r="G57" s="5" t="e">
        <f ca="1">OFFSET(todayssatellite!$B$1,MATCH(B57&amp;"_"&amp;C57,todayssatellite!$G:$G,0)-1,0)</f>
        <v>#N/A</v>
      </c>
      <c r="H57" s="6" t="s">
        <v>1635</v>
      </c>
      <c r="P57" s="11" t="s">
        <v>1661</v>
      </c>
      <c r="Q57" s="6">
        <v>1</v>
      </c>
    </row>
    <row r="58" spans="2:17" x14ac:dyDescent="0.15">
      <c r="B58" s="5" t="s">
        <v>1590</v>
      </c>
      <c r="C58" s="5">
        <v>23</v>
      </c>
      <c r="D58" s="5"/>
      <c r="E58" s="7" t="str">
        <f t="shared" si="1"/>
        <v>◯</v>
      </c>
      <c r="F58" s="5">
        <f>COUNTIFS(todayssatellite!$E:$E,データチェック!B58,todayssatellite!$F:$F,データチェック!C58)</f>
        <v>2</v>
      </c>
      <c r="G58" s="5" t="str">
        <f ca="1">OFFSET(todayssatellite!$B$1,MATCH(B58&amp;"_"&amp;C58,todayssatellite!$G:$G,0)-1,0)</f>
        <v>【今日の人工衛星】2/27 2014年：GPM主衛星 全球降水観測計画の中心となる衛星、NASAとJAXAの共同プロジェクト。NASAは衛星本体とGMI、JAXAはDPRと打上を担当。TRMMの機能も引き継いでいる。</v>
      </c>
      <c r="H58" s="6" t="s">
        <v>1635</v>
      </c>
      <c r="P58" s="11" t="s">
        <v>1662</v>
      </c>
      <c r="Q58" s="6">
        <v>1</v>
      </c>
    </row>
    <row r="59" spans="2:17" x14ac:dyDescent="0.15">
      <c r="B59" s="5" t="s">
        <v>1590</v>
      </c>
      <c r="C59" s="5">
        <v>24</v>
      </c>
      <c r="D59" s="5"/>
      <c r="E59" s="7" t="str">
        <f t="shared" si="1"/>
        <v>✕</v>
      </c>
      <c r="F59" s="5">
        <f>COUNTIFS(todayssatellite!$E:$E,データチェック!B59,todayssatellite!$F:$F,データチェック!C59)</f>
        <v>0</v>
      </c>
      <c r="G59" s="5" t="e">
        <f ca="1">OFFSET(todayssatellite!$B$1,MATCH(B59&amp;"_"&amp;C59,todayssatellite!$G:$G,0)-1,0)</f>
        <v>#N/A</v>
      </c>
      <c r="H59" s="6" t="s">
        <v>1635</v>
      </c>
      <c r="P59" s="11" t="s">
        <v>1079</v>
      </c>
      <c r="Q59" s="6">
        <v>1</v>
      </c>
    </row>
    <row r="60" spans="2:17" x14ac:dyDescent="0.15">
      <c r="B60" s="5" t="s">
        <v>1590</v>
      </c>
      <c r="C60" s="5">
        <v>25</v>
      </c>
      <c r="D60" s="5"/>
      <c r="E60" s="7" t="str">
        <f t="shared" si="1"/>
        <v>✕</v>
      </c>
      <c r="F60" s="5">
        <f>COUNTIFS(todayssatellite!$E:$E,データチェック!B60,todayssatellite!$F:$F,データチェック!C60)</f>
        <v>0</v>
      </c>
      <c r="G60" s="5" t="e">
        <f ca="1">OFFSET(todayssatellite!$B$1,MATCH(B60&amp;"_"&amp;C60,todayssatellite!$G:$G,0)-1,0)</f>
        <v>#N/A</v>
      </c>
      <c r="H60" s="6" t="s">
        <v>1635</v>
      </c>
      <c r="P60" s="11" t="s">
        <v>1663</v>
      </c>
      <c r="Q60" s="6">
        <v>1</v>
      </c>
    </row>
    <row r="61" spans="2:17" x14ac:dyDescent="0.15">
      <c r="B61" s="5" t="s">
        <v>1590</v>
      </c>
      <c r="C61" s="5">
        <v>26</v>
      </c>
      <c r="D61" s="5"/>
      <c r="E61" s="7" t="str">
        <f t="shared" si="1"/>
        <v>◯</v>
      </c>
      <c r="F61" s="5">
        <f>COUNTIFS(todayssatellite!$E:$E,データチェック!B61,todayssatellite!$F:$F,データチェック!C61)</f>
        <v>5</v>
      </c>
      <c r="G61" s="5" t="str">
        <f ca="1">OFFSET(todayssatellite!$B$1,MATCH(B61&amp;"_"&amp;C61,todayssatellite!$G:$G,0)-1,0)</f>
        <v>【今日の人工衛星】12/3 2014年：はやぶさ2 小惑星探査機。「はやぶさ」後継機として小惑星1999 JU3(打ち上げ後にリュウグウと命名)と往復、2020年12月6日にサンプルリターンに成功。小惑星1998KY26を目指す拡張ミッションを実施中</v>
      </c>
      <c r="H61" s="6" t="s">
        <v>1635</v>
      </c>
      <c r="P61" s="11" t="s">
        <v>1080</v>
      </c>
      <c r="Q61" s="6">
        <v>1</v>
      </c>
    </row>
    <row r="62" spans="2:17" x14ac:dyDescent="0.15">
      <c r="B62" s="5" t="s">
        <v>1590</v>
      </c>
      <c r="C62" s="5">
        <v>27</v>
      </c>
      <c r="D62" s="5"/>
      <c r="E62" s="7" t="str">
        <f t="shared" si="1"/>
        <v>✕</v>
      </c>
      <c r="F62" s="5">
        <f>COUNTIFS(todayssatellite!$E:$E,データチェック!B62,todayssatellite!$F:$F,データチェック!C62)</f>
        <v>0</v>
      </c>
      <c r="G62" s="5" t="e">
        <f ca="1">OFFSET(todayssatellite!$B$1,MATCH(B62&amp;"_"&amp;C62,todayssatellite!$G:$G,0)-1,0)</f>
        <v>#N/A</v>
      </c>
      <c r="H62" s="6" t="s">
        <v>1635</v>
      </c>
      <c r="P62" s="11" t="s">
        <v>1664</v>
      </c>
      <c r="Q62" s="6">
        <v>1</v>
      </c>
    </row>
    <row r="63" spans="2:17" x14ac:dyDescent="0.15">
      <c r="B63" s="5" t="s">
        <v>1590</v>
      </c>
      <c r="C63" s="5">
        <v>28</v>
      </c>
      <c r="D63" s="5"/>
      <c r="E63" s="7" t="str">
        <f t="shared" si="1"/>
        <v>✕</v>
      </c>
      <c r="F63" s="5">
        <f>COUNTIFS(todayssatellite!$E:$E,データチェック!B63,todayssatellite!$F:$F,データチェック!C63)</f>
        <v>0</v>
      </c>
      <c r="G63" s="5" t="e">
        <f ca="1">OFFSET(todayssatellite!$B$1,MATCH(B63&amp;"_"&amp;C63,todayssatellite!$G:$G,0)-1,0)</f>
        <v>#N/A</v>
      </c>
      <c r="H63" s="6" t="s">
        <v>1635</v>
      </c>
      <c r="P63" s="11" t="s">
        <v>1081</v>
      </c>
      <c r="Q63" s="6">
        <v>1</v>
      </c>
    </row>
    <row r="64" spans="2:17" x14ac:dyDescent="0.15">
      <c r="B64" s="5" t="s">
        <v>1590</v>
      </c>
      <c r="C64" s="5">
        <v>29</v>
      </c>
      <c r="D64" s="5"/>
      <c r="E64" s="7" t="str">
        <f t="shared" si="1"/>
        <v>✕</v>
      </c>
      <c r="F64" s="5">
        <f>COUNTIFS(todayssatellite!$E:$E,データチェック!B64,todayssatellite!$F:$F,データチェック!C64)</f>
        <v>0</v>
      </c>
      <c r="G64" s="5" t="e">
        <f ca="1">OFFSET(todayssatellite!$B$1,MATCH(B64&amp;"_"&amp;C64,todayssatellite!$G:$G,0)-1,0)</f>
        <v>#N/A</v>
      </c>
      <c r="H64" s="6" t="s">
        <v>1635</v>
      </c>
      <c r="P64" s="11" t="s">
        <v>1665</v>
      </c>
      <c r="Q64" s="6">
        <v>1</v>
      </c>
    </row>
    <row r="65" spans="2:17" x14ac:dyDescent="0.15">
      <c r="B65" s="5" t="s">
        <v>1590</v>
      </c>
      <c r="C65" s="5">
        <v>30</v>
      </c>
      <c r="D65" s="5"/>
      <c r="E65" s="7" t="str">
        <f t="shared" si="1"/>
        <v>✕</v>
      </c>
      <c r="F65" s="5">
        <f>COUNTIFS(todayssatellite!$E:$E,データチェック!B65,todayssatellite!$F:$F,データチェック!C65)</f>
        <v>0</v>
      </c>
      <c r="G65" s="5" t="e">
        <f ca="1">OFFSET(todayssatellite!$B$1,MATCH(B65&amp;"_"&amp;C65,todayssatellite!$G:$G,0)-1,0)</f>
        <v>#N/A</v>
      </c>
      <c r="H65" s="6" t="s">
        <v>1635</v>
      </c>
      <c r="P65" s="11" t="s">
        <v>1666</v>
      </c>
      <c r="Q65" s="6">
        <v>1</v>
      </c>
    </row>
    <row r="66" spans="2:17" x14ac:dyDescent="0.15">
      <c r="B66" s="5" t="s">
        <v>1590</v>
      </c>
      <c r="C66" s="5">
        <v>31</v>
      </c>
      <c r="D66" s="5"/>
      <c r="E66" s="7" t="str">
        <f t="shared" si="1"/>
        <v>✕</v>
      </c>
      <c r="F66" s="5">
        <f>COUNTIFS(todayssatellite!$E:$E,データチェック!B66,todayssatellite!$F:$F,データチェック!C66)</f>
        <v>0</v>
      </c>
      <c r="G66" s="5" t="e">
        <f ca="1">OFFSET(todayssatellite!$B$1,MATCH(B66&amp;"_"&amp;C66,todayssatellite!$G:$G,0)-1,0)</f>
        <v>#N/A</v>
      </c>
      <c r="H66" s="6" t="s">
        <v>1635</v>
      </c>
      <c r="P66" s="11" t="s">
        <v>1082</v>
      </c>
      <c r="Q66" s="6">
        <v>1</v>
      </c>
    </row>
    <row r="67" spans="2:17" x14ac:dyDescent="0.15">
      <c r="B67" s="5" t="s">
        <v>1590</v>
      </c>
      <c r="C67" s="5">
        <v>32</v>
      </c>
      <c r="D67" s="5"/>
      <c r="E67" s="7" t="str">
        <f t="shared" si="1"/>
        <v>✕</v>
      </c>
      <c r="F67" s="5">
        <f>COUNTIFS(todayssatellite!$E:$E,データチェック!B67,todayssatellite!$F:$F,データチェック!C67)</f>
        <v>0</v>
      </c>
      <c r="G67" s="5" t="e">
        <f ca="1">OFFSET(todayssatellite!$B$1,MATCH(B67&amp;"_"&amp;C67,todayssatellite!$G:$G,0)-1,0)</f>
        <v>#N/A</v>
      </c>
      <c r="H67" s="6" t="s">
        <v>1635</v>
      </c>
      <c r="P67" s="11" t="s">
        <v>1083</v>
      </c>
      <c r="Q67" s="6">
        <v>1</v>
      </c>
    </row>
    <row r="68" spans="2:17" x14ac:dyDescent="0.15">
      <c r="B68" s="5" t="s">
        <v>1590</v>
      </c>
      <c r="C68" s="5">
        <v>33</v>
      </c>
      <c r="D68" s="5"/>
      <c r="E68" s="7" t="str">
        <f t="shared" si="1"/>
        <v>✕</v>
      </c>
      <c r="F68" s="5">
        <f>COUNTIFS(todayssatellite!$E:$E,データチェック!B68,todayssatellite!$F:$F,データチェック!C68)</f>
        <v>0</v>
      </c>
      <c r="G68" s="5" t="e">
        <f ca="1">OFFSET(todayssatellite!$B$1,MATCH(B68&amp;"_"&amp;C68,todayssatellite!$G:$G,0)-1,0)</f>
        <v>#N/A</v>
      </c>
      <c r="H68" s="6" t="s">
        <v>1635</v>
      </c>
      <c r="P68" s="11" t="s">
        <v>1084</v>
      </c>
      <c r="Q68" s="6">
        <v>1</v>
      </c>
    </row>
    <row r="69" spans="2:17" x14ac:dyDescent="0.15">
      <c r="B69" s="5" t="s">
        <v>1590</v>
      </c>
      <c r="C69" s="5">
        <v>34</v>
      </c>
      <c r="D69" s="5"/>
      <c r="E69" s="7" t="str">
        <f t="shared" ref="E69:E96" si="2">IF(F69&gt;=2,"◯",IF(F69&gt;0,"△","✕"))</f>
        <v>✕</v>
      </c>
      <c r="F69" s="5">
        <f>COUNTIFS(todayssatellite!$E:$E,データチェック!B69,todayssatellite!$F:$F,データチェック!C69)</f>
        <v>0</v>
      </c>
      <c r="G69" s="5" t="e">
        <f ca="1">OFFSET(todayssatellite!$B$1,MATCH(B69&amp;"_"&amp;C69,todayssatellite!$G:$G,0)-1,0)</f>
        <v>#N/A</v>
      </c>
      <c r="H69" s="6" t="s">
        <v>1635</v>
      </c>
      <c r="P69" s="11" t="s">
        <v>1667</v>
      </c>
      <c r="Q69" s="6">
        <v>1</v>
      </c>
    </row>
    <row r="70" spans="2:17" x14ac:dyDescent="0.15">
      <c r="B70" s="5" t="s">
        <v>1590</v>
      </c>
      <c r="C70" s="5">
        <v>35</v>
      </c>
      <c r="D70" s="5"/>
      <c r="E70" s="7" t="str">
        <f t="shared" si="2"/>
        <v>✕</v>
      </c>
      <c r="F70" s="5">
        <f>COUNTIFS(todayssatellite!$E:$E,データチェック!B70,todayssatellite!$F:$F,データチェック!C70)</f>
        <v>0</v>
      </c>
      <c r="G70" s="5" t="e">
        <f ca="1">OFFSET(todayssatellite!$B$1,MATCH(B70&amp;"_"&amp;C70,todayssatellite!$G:$G,0)-1,0)</f>
        <v>#N/A</v>
      </c>
      <c r="H70" s="6" t="s">
        <v>1635</v>
      </c>
      <c r="P70" s="11" t="s">
        <v>1668</v>
      </c>
      <c r="Q70" s="6">
        <v>1</v>
      </c>
    </row>
    <row r="71" spans="2:17" x14ac:dyDescent="0.15">
      <c r="B71" s="5" t="s">
        <v>1590</v>
      </c>
      <c r="C71" s="5">
        <v>36</v>
      </c>
      <c r="D71" s="5"/>
      <c r="E71" s="7" t="str">
        <f t="shared" si="2"/>
        <v>✕</v>
      </c>
      <c r="F71" s="5">
        <f>COUNTIFS(todayssatellite!$E:$E,データチェック!B71,todayssatellite!$F:$F,データチェック!C71)</f>
        <v>0</v>
      </c>
      <c r="G71" s="5" t="e">
        <f ca="1">OFFSET(todayssatellite!$B$1,MATCH(B71&amp;"_"&amp;C71,todayssatellite!$G:$G,0)-1,0)</f>
        <v>#N/A</v>
      </c>
      <c r="H71" s="6" t="s">
        <v>1635</v>
      </c>
      <c r="P71" s="11" t="s">
        <v>1085</v>
      </c>
      <c r="Q71" s="6">
        <v>1</v>
      </c>
    </row>
    <row r="72" spans="2:17" x14ac:dyDescent="0.15">
      <c r="B72" s="5" t="s">
        <v>1590</v>
      </c>
      <c r="C72" s="5">
        <v>37</v>
      </c>
      <c r="D72" s="5"/>
      <c r="E72" s="7" t="str">
        <f t="shared" si="2"/>
        <v>✕</v>
      </c>
      <c r="F72" s="5">
        <f>COUNTIFS(todayssatellite!$E:$E,データチェック!B72,todayssatellite!$F:$F,データチェック!C72)</f>
        <v>0</v>
      </c>
      <c r="G72" s="5" t="e">
        <f ca="1">OFFSET(todayssatellite!$B$1,MATCH(B72&amp;"_"&amp;C72,todayssatellite!$G:$G,0)-1,0)</f>
        <v>#N/A</v>
      </c>
      <c r="H72" s="6" t="s">
        <v>1635</v>
      </c>
      <c r="P72" s="11" t="s">
        <v>1669</v>
      </c>
      <c r="Q72" s="6">
        <v>1</v>
      </c>
    </row>
    <row r="73" spans="2:17" x14ac:dyDescent="0.15">
      <c r="B73" s="5" t="s">
        <v>1590</v>
      </c>
      <c r="C73" s="5">
        <v>38</v>
      </c>
      <c r="D73" s="5"/>
      <c r="E73" s="7" t="str">
        <f t="shared" si="2"/>
        <v>✕</v>
      </c>
      <c r="F73" s="5">
        <f>COUNTIFS(todayssatellite!$E:$E,データチェック!B73,todayssatellite!$F:$F,データチェック!C73)</f>
        <v>0</v>
      </c>
      <c r="G73" s="5" t="e">
        <f ca="1">OFFSET(todayssatellite!$B$1,MATCH(B73&amp;"_"&amp;C73,todayssatellite!$G:$G,0)-1,0)</f>
        <v>#N/A</v>
      </c>
      <c r="H73" s="6" t="s">
        <v>1635</v>
      </c>
      <c r="P73" s="11" t="s">
        <v>1670</v>
      </c>
      <c r="Q73" s="6">
        <v>1</v>
      </c>
    </row>
    <row r="74" spans="2:17" x14ac:dyDescent="0.15">
      <c r="B74" s="5" t="s">
        <v>1590</v>
      </c>
      <c r="C74" s="5">
        <v>39</v>
      </c>
      <c r="D74" s="5"/>
      <c r="E74" s="7" t="str">
        <f t="shared" si="2"/>
        <v>✕</v>
      </c>
      <c r="F74" s="5">
        <f>COUNTIFS(todayssatellite!$E:$E,データチェック!B74,todayssatellite!$F:$F,データチェック!C74)</f>
        <v>0</v>
      </c>
      <c r="G74" s="5" t="e">
        <f ca="1">OFFSET(todayssatellite!$B$1,MATCH(B74&amp;"_"&amp;C74,todayssatellite!$G:$G,0)-1,0)</f>
        <v>#N/A</v>
      </c>
      <c r="H74" s="6" t="s">
        <v>1635</v>
      </c>
      <c r="P74" s="11" t="s">
        <v>1671</v>
      </c>
      <c r="Q74" s="6">
        <v>1</v>
      </c>
    </row>
    <row r="75" spans="2:17" x14ac:dyDescent="0.15">
      <c r="B75" s="5" t="s">
        <v>1590</v>
      </c>
      <c r="C75" s="5">
        <v>40</v>
      </c>
      <c r="D75" s="5"/>
      <c r="E75" s="7" t="str">
        <f t="shared" si="2"/>
        <v>✕</v>
      </c>
      <c r="F75" s="5">
        <f>COUNTIFS(todayssatellite!$E:$E,データチェック!B75,todayssatellite!$F:$F,データチェック!C75)</f>
        <v>0</v>
      </c>
      <c r="G75" s="5" t="e">
        <f ca="1">OFFSET(todayssatellite!$B$1,MATCH(B75&amp;"_"&amp;C75,todayssatellite!$G:$G,0)-1,0)</f>
        <v>#N/A</v>
      </c>
      <c r="H75" s="6" t="s">
        <v>1635</v>
      </c>
      <c r="P75" s="11" t="s">
        <v>1672</v>
      </c>
      <c r="Q75" s="6">
        <v>1</v>
      </c>
    </row>
    <row r="76" spans="2:17" x14ac:dyDescent="0.15">
      <c r="B76" s="5" t="s">
        <v>1590</v>
      </c>
      <c r="C76" s="5">
        <v>41</v>
      </c>
      <c r="D76" s="5"/>
      <c r="E76" s="7" t="str">
        <f t="shared" si="2"/>
        <v>✕</v>
      </c>
      <c r="F76" s="5">
        <f>COUNTIFS(todayssatellite!$E:$E,データチェック!B76,todayssatellite!$F:$F,データチェック!C76)</f>
        <v>0</v>
      </c>
      <c r="G76" s="5" t="e">
        <f ca="1">OFFSET(todayssatellite!$B$1,MATCH(B76&amp;"_"&amp;C76,todayssatellite!$G:$G,0)-1,0)</f>
        <v>#N/A</v>
      </c>
      <c r="H76" s="6" t="s">
        <v>1635</v>
      </c>
      <c r="P76" s="11" t="s">
        <v>1086</v>
      </c>
      <c r="Q76" s="6">
        <v>1</v>
      </c>
    </row>
    <row r="77" spans="2:17" x14ac:dyDescent="0.15">
      <c r="B77" s="5" t="s">
        <v>1590</v>
      </c>
      <c r="C77" s="5">
        <v>42</v>
      </c>
      <c r="D77" s="5"/>
      <c r="E77" s="7" t="str">
        <f t="shared" si="2"/>
        <v>✕</v>
      </c>
      <c r="F77" s="5">
        <f>COUNTIFS(todayssatellite!$E:$E,データチェック!B77,todayssatellite!$F:$F,データチェック!C77)</f>
        <v>0</v>
      </c>
      <c r="G77" s="5" t="e">
        <f ca="1">OFFSET(todayssatellite!$B$1,MATCH(B77&amp;"_"&amp;C77,todayssatellite!$G:$G,0)-1,0)</f>
        <v>#N/A</v>
      </c>
      <c r="H77" s="6" t="s">
        <v>1635</v>
      </c>
      <c r="P77" s="11" t="s">
        <v>1673</v>
      </c>
      <c r="Q77" s="6">
        <v>1</v>
      </c>
    </row>
    <row r="78" spans="2:17" x14ac:dyDescent="0.15">
      <c r="B78" s="5" t="s">
        <v>1590</v>
      </c>
      <c r="C78" s="5">
        <v>43</v>
      </c>
      <c r="D78" s="5"/>
      <c r="E78" s="7" t="str">
        <f t="shared" si="2"/>
        <v>✕</v>
      </c>
      <c r="F78" s="5">
        <f>COUNTIFS(todayssatellite!$E:$E,データチェック!B78,todayssatellite!$F:$F,データチェック!C78)</f>
        <v>0</v>
      </c>
      <c r="G78" s="5" t="e">
        <f ca="1">OFFSET(todayssatellite!$B$1,MATCH(B78&amp;"_"&amp;C78,todayssatellite!$G:$G,0)-1,0)</f>
        <v>#N/A</v>
      </c>
      <c r="H78" s="6" t="s">
        <v>1635</v>
      </c>
      <c r="P78" s="11" t="s">
        <v>1674</v>
      </c>
      <c r="Q78" s="6">
        <v>1</v>
      </c>
    </row>
    <row r="79" spans="2:17" x14ac:dyDescent="0.15">
      <c r="B79" s="5" t="s">
        <v>1590</v>
      </c>
      <c r="C79" s="5">
        <v>44</v>
      </c>
      <c r="D79" s="5"/>
      <c r="E79" s="7" t="str">
        <f t="shared" si="2"/>
        <v>✕</v>
      </c>
      <c r="F79" s="5">
        <f>COUNTIFS(todayssatellite!$E:$E,データチェック!B79,todayssatellite!$F:$F,データチェック!C79)</f>
        <v>0</v>
      </c>
      <c r="G79" s="5" t="e">
        <f ca="1">OFFSET(todayssatellite!$B$1,MATCH(B79&amp;"_"&amp;C79,todayssatellite!$G:$G,0)-1,0)</f>
        <v>#N/A</v>
      </c>
      <c r="H79" s="6" t="s">
        <v>1635</v>
      </c>
      <c r="P79" s="11" t="s">
        <v>1087</v>
      </c>
      <c r="Q79" s="6">
        <v>1</v>
      </c>
    </row>
    <row r="80" spans="2:17" x14ac:dyDescent="0.15">
      <c r="B80" s="5" t="s">
        <v>1590</v>
      </c>
      <c r="C80" s="5">
        <v>45</v>
      </c>
      <c r="D80" s="5"/>
      <c r="E80" s="7" t="str">
        <f t="shared" si="2"/>
        <v>✕</v>
      </c>
      <c r="F80" s="5">
        <f>COUNTIFS(todayssatellite!$E:$E,データチェック!B80,todayssatellite!$F:$F,データチェック!C80)</f>
        <v>0</v>
      </c>
      <c r="G80" s="5" t="e">
        <f ca="1">OFFSET(todayssatellite!$B$1,MATCH(B80&amp;"_"&amp;C80,todayssatellite!$G:$G,0)-1,0)</f>
        <v>#N/A</v>
      </c>
      <c r="H80" s="6" t="s">
        <v>1635</v>
      </c>
      <c r="P80" s="11" t="s">
        <v>1088</v>
      </c>
      <c r="Q80" s="6">
        <v>1</v>
      </c>
    </row>
    <row r="81" spans="2:17" x14ac:dyDescent="0.15">
      <c r="B81" s="5" t="s">
        <v>1590</v>
      </c>
      <c r="C81" s="5">
        <v>46</v>
      </c>
      <c r="D81" s="5"/>
      <c r="E81" s="7" t="str">
        <f t="shared" si="2"/>
        <v>✕</v>
      </c>
      <c r="F81" s="5">
        <f>COUNTIFS(todayssatellite!$E:$E,データチェック!B81,todayssatellite!$F:$F,データチェック!C81)</f>
        <v>0</v>
      </c>
      <c r="G81" s="5" t="e">
        <f ca="1">OFFSET(todayssatellite!$B$1,MATCH(B81&amp;"_"&amp;C81,todayssatellite!$G:$G,0)-1,0)</f>
        <v>#N/A</v>
      </c>
      <c r="H81" s="6" t="s">
        <v>1635</v>
      </c>
      <c r="P81" s="11" t="s">
        <v>1089</v>
      </c>
      <c r="Q81" s="6">
        <v>1</v>
      </c>
    </row>
    <row r="82" spans="2:17" x14ac:dyDescent="0.15">
      <c r="B82" s="5" t="s">
        <v>1590</v>
      </c>
      <c r="C82" s="5">
        <v>47</v>
      </c>
      <c r="D82" s="5"/>
      <c r="E82" s="7" t="str">
        <f t="shared" si="2"/>
        <v>◯</v>
      </c>
      <c r="F82" s="5">
        <f>COUNTIFS(todayssatellite!$E:$E,データチェック!B82,todayssatellite!$F:$F,データチェック!C82)</f>
        <v>4</v>
      </c>
      <c r="G82" s="5" t="str">
        <f ca="1">OFFSET(todayssatellite!$B$1,MATCH(B82&amp;"_"&amp;C82,todayssatellite!$G:$G,0)-1,0)</f>
        <v>★2024年の今日1/20 00:20ごろ、小型月着陸実証機(SLIM)が月面に着陸しました。スラスタの不具合により想定とは異なる着陸形態になり発電がされない状態になりましたが、1/28に発電が始まり、所期の通信・観測などに成功しました。</v>
      </c>
      <c r="H82" s="6" t="s">
        <v>1635</v>
      </c>
      <c r="P82" s="11" t="s">
        <v>1090</v>
      </c>
      <c r="Q82" s="6">
        <v>1</v>
      </c>
    </row>
    <row r="83" spans="2:17" x14ac:dyDescent="0.15">
      <c r="B83" s="5" t="s">
        <v>1590</v>
      </c>
      <c r="C83" s="5">
        <v>48</v>
      </c>
      <c r="D83" s="5"/>
      <c r="E83" s="7" t="str">
        <f t="shared" si="2"/>
        <v>✕</v>
      </c>
      <c r="F83" s="5">
        <f>COUNTIFS(todayssatellite!$E:$E,データチェック!B83,todayssatellite!$F:$F,データチェック!C83)</f>
        <v>0</v>
      </c>
      <c r="G83" s="5" t="e">
        <f ca="1">OFFSET(todayssatellite!$B$1,MATCH(B83&amp;"_"&amp;C83,todayssatellite!$G:$G,0)-1,0)</f>
        <v>#N/A</v>
      </c>
      <c r="H83" s="6" t="s">
        <v>1635</v>
      </c>
      <c r="P83" s="11" t="s">
        <v>1675</v>
      </c>
      <c r="Q83" s="6">
        <v>1</v>
      </c>
    </row>
    <row r="84" spans="2:17" x14ac:dyDescent="0.15">
      <c r="B84" s="5" t="s">
        <v>1590</v>
      </c>
      <c r="C84" s="5">
        <v>49</v>
      </c>
      <c r="D84" s="5"/>
      <c r="E84" s="7" t="str">
        <f t="shared" si="2"/>
        <v>◯</v>
      </c>
      <c r="F84" s="5">
        <f>COUNTIFS(todayssatellite!$E:$E,データチェック!B84,todayssatellite!$F:$F,データチェック!C84)</f>
        <v>2</v>
      </c>
      <c r="G84" s="5" t="str">
        <f ca="1">OFFSET(todayssatellite!$B$1,MATCH(B84&amp;"_"&amp;C84,todayssatellite!$G:$G,0)-1,0)</f>
        <v>【今日の人工衛星】9/26 2024年：情報収集衛星レーダ8号機(IGS R8) H-IIAロケット49号機で打ち上げ。日本の事実上の偵察衛星シリーズでありレーダ7号機と同型、データ中継衛星との通信機能も持つ。</v>
      </c>
      <c r="H84" s="6" t="s">
        <v>1635</v>
      </c>
      <c r="P84" s="11" t="s">
        <v>1676</v>
      </c>
      <c r="Q84" s="6">
        <v>1</v>
      </c>
    </row>
    <row r="85" spans="2:17" x14ac:dyDescent="0.15">
      <c r="B85" s="5" t="s">
        <v>1590</v>
      </c>
      <c r="C85" s="5">
        <v>50</v>
      </c>
      <c r="D85" s="5"/>
      <c r="E85" s="7" t="str">
        <f t="shared" si="2"/>
        <v>◯</v>
      </c>
      <c r="F85" s="5">
        <f>COUNTIFS(todayssatellite!$E:$E,データチェック!B85,todayssatellite!$F:$F,データチェック!C85)</f>
        <v>2</v>
      </c>
      <c r="G85" s="5" t="str">
        <f ca="1">OFFSET(todayssatellite!$B$1,MATCH(B85&amp;"_"&amp;C85,todayssatellite!$G:$G,0)-1,0)</f>
        <v>【今日の人工衛星】6/29 2025年：温室効果ガス・水循環観測技術衛星（GOSAT-GW）　H-IIAロケット50号機で打ち上げ。先代のいぶき2号（GOSAT-2）としずく（GCOM-W）の両ミッションを引き継ぎ発展させる衛星です</v>
      </c>
      <c r="H85" s="6" t="s">
        <v>1635</v>
      </c>
      <c r="P85" s="11" t="s">
        <v>1677</v>
      </c>
      <c r="Q85" s="6">
        <v>1</v>
      </c>
    </row>
    <row r="86" spans="2:17" x14ac:dyDescent="0.15">
      <c r="B86" s="5" t="s">
        <v>1589</v>
      </c>
      <c r="C86" s="5">
        <v>1</v>
      </c>
      <c r="D86" s="5"/>
      <c r="E86" s="7" t="str">
        <f t="shared" si="2"/>
        <v>◯</v>
      </c>
      <c r="F86" s="5">
        <f>COUNTIFS(todayssatellite!$E:$E,データチェック!B86,todayssatellite!$F:$F,データチェック!C86)</f>
        <v>2</v>
      </c>
      <c r="G86" s="5" t="str">
        <f ca="1">OFFSET(todayssatellite!$B$1,MATCH(B86&amp;"_"&amp;C86,todayssatellite!$G:$G,0)-1,0)</f>
        <v>【今日の人工衛星】9/10(UTC) (日本時間11日2:01打上) 2009年：HTV-1 宇宙ステーション補給機の1号機。H-IIBロケット初回の打上でもあったが、無事ミッションに成功。この時点では愛称は付いていない</v>
      </c>
      <c r="H86" s="6" t="s">
        <v>1635</v>
      </c>
      <c r="P86" s="11" t="s">
        <v>1678</v>
      </c>
      <c r="Q86" s="6">
        <v>1</v>
      </c>
    </row>
    <row r="87" spans="2:17" x14ac:dyDescent="0.15">
      <c r="B87" s="5" t="s">
        <v>1589</v>
      </c>
      <c r="C87" s="5">
        <v>2</v>
      </c>
      <c r="D87" s="5"/>
      <c r="E87" s="7" t="str">
        <f t="shared" si="2"/>
        <v>◯</v>
      </c>
      <c r="F87" s="5">
        <f>COUNTIFS(todayssatellite!$E:$E,データチェック!B87,todayssatellite!$F:$F,データチェック!C87)</f>
        <v>2</v>
      </c>
      <c r="G87" s="5" t="str">
        <f ca="1">OFFSET(todayssatellite!$B$1,MATCH(B87&amp;"_"&amp;C87,todayssatellite!$G:$G,0)-1,0)</f>
        <v>【今日の人工衛星】1/22 2011年：HTV-2 日本の宇宙ステーション補給機の2号。このときから「こうのとり」の愛称がつけられた。国際宇宙ステーションへの補給を無事に完了した。</v>
      </c>
      <c r="H87" s="6" t="s">
        <v>1635</v>
      </c>
      <c r="P87" s="11" t="s">
        <v>1091</v>
      </c>
      <c r="Q87" s="6">
        <v>1</v>
      </c>
    </row>
    <row r="88" spans="2:17" x14ac:dyDescent="0.15">
      <c r="B88" s="5" t="s">
        <v>1589</v>
      </c>
      <c r="C88" s="5">
        <v>3</v>
      </c>
      <c r="D88" s="5"/>
      <c r="E88" s="7" t="str">
        <f t="shared" si="2"/>
        <v>✕</v>
      </c>
      <c r="F88" s="5">
        <f>COUNTIFS(todayssatellite!$E:$E,データチェック!B88,todayssatellite!$F:$F,データチェック!C88)</f>
        <v>0</v>
      </c>
      <c r="G88" s="5" t="e">
        <f ca="1">OFFSET(todayssatellite!$B$1,MATCH(B88&amp;"_"&amp;C88,todayssatellite!$G:$G,0)-1,0)</f>
        <v>#N/A</v>
      </c>
      <c r="H88" s="6" t="s">
        <v>1635</v>
      </c>
      <c r="P88" s="11" t="s">
        <v>1679</v>
      </c>
      <c r="Q88" s="6">
        <v>1</v>
      </c>
    </row>
    <row r="89" spans="2:17" x14ac:dyDescent="0.15">
      <c r="B89" s="5" t="s">
        <v>1589</v>
      </c>
      <c r="C89" s="5">
        <v>4</v>
      </c>
      <c r="D89" s="5"/>
      <c r="E89" s="7" t="str">
        <f t="shared" si="2"/>
        <v>✕</v>
      </c>
      <c r="F89" s="5">
        <f>COUNTIFS(todayssatellite!$E:$E,データチェック!B89,todayssatellite!$F:$F,データチェック!C89)</f>
        <v>0</v>
      </c>
      <c r="G89" s="5" t="e">
        <f ca="1">OFFSET(todayssatellite!$B$1,MATCH(B89&amp;"_"&amp;C89,todayssatellite!$G:$G,0)-1,0)</f>
        <v>#N/A</v>
      </c>
      <c r="H89" s="6" t="s">
        <v>1635</v>
      </c>
      <c r="P89" s="11" t="s">
        <v>1680</v>
      </c>
      <c r="Q89" s="6">
        <v>1</v>
      </c>
    </row>
    <row r="90" spans="2:17" x14ac:dyDescent="0.15">
      <c r="B90" s="5" t="s">
        <v>1589</v>
      </c>
      <c r="C90" s="5">
        <v>5</v>
      </c>
      <c r="D90" s="5"/>
      <c r="E90" s="7" t="str">
        <f t="shared" si="2"/>
        <v>✕</v>
      </c>
      <c r="F90" s="5">
        <f>COUNTIFS(todayssatellite!$E:$E,データチェック!B90,todayssatellite!$F:$F,データチェック!C90)</f>
        <v>0</v>
      </c>
      <c r="G90" s="5" t="e">
        <f ca="1">OFFSET(todayssatellite!$B$1,MATCH(B90&amp;"_"&amp;C90,todayssatellite!$G:$G,0)-1,0)</f>
        <v>#N/A</v>
      </c>
      <c r="H90" s="6" t="s">
        <v>1635</v>
      </c>
      <c r="P90" s="11" t="s">
        <v>1092</v>
      </c>
      <c r="Q90" s="6">
        <v>1</v>
      </c>
    </row>
    <row r="91" spans="2:17" x14ac:dyDescent="0.15">
      <c r="B91" s="5" t="s">
        <v>1589</v>
      </c>
      <c r="C91" s="5">
        <v>6</v>
      </c>
      <c r="D91" s="5"/>
      <c r="E91" s="7" t="str">
        <f t="shared" si="2"/>
        <v>✕</v>
      </c>
      <c r="F91" s="5">
        <f>COUNTIFS(todayssatellite!$E:$E,データチェック!B91,todayssatellite!$F:$F,データチェック!C91)</f>
        <v>0</v>
      </c>
      <c r="G91" s="5" t="e">
        <f ca="1">OFFSET(todayssatellite!$B$1,MATCH(B91&amp;"_"&amp;C91,todayssatellite!$G:$G,0)-1,0)</f>
        <v>#N/A</v>
      </c>
      <c r="H91" s="6" t="s">
        <v>1635</v>
      </c>
      <c r="P91" s="11" t="s">
        <v>1681</v>
      </c>
      <c r="Q91" s="6">
        <v>1</v>
      </c>
    </row>
    <row r="92" spans="2:17" x14ac:dyDescent="0.15">
      <c r="B92" s="5" t="s">
        <v>1589</v>
      </c>
      <c r="C92" s="5">
        <v>7</v>
      </c>
      <c r="D92" s="5"/>
      <c r="E92" s="7" t="str">
        <f t="shared" si="2"/>
        <v>✕</v>
      </c>
      <c r="F92" s="5">
        <f>COUNTIFS(todayssatellite!$E:$E,データチェック!B92,todayssatellite!$F:$F,データチェック!C92)</f>
        <v>0</v>
      </c>
      <c r="G92" s="5" t="e">
        <f ca="1">OFFSET(todayssatellite!$B$1,MATCH(B92&amp;"_"&amp;C92,todayssatellite!$G:$G,0)-1,0)</f>
        <v>#N/A</v>
      </c>
      <c r="H92" s="6" t="s">
        <v>1635</v>
      </c>
      <c r="P92" s="11" t="s">
        <v>1682</v>
      </c>
      <c r="Q92" s="6">
        <v>1</v>
      </c>
    </row>
    <row r="93" spans="2:17" x14ac:dyDescent="0.15">
      <c r="B93" s="5" t="s">
        <v>1589</v>
      </c>
      <c r="C93" s="5">
        <v>8</v>
      </c>
      <c r="D93" s="5"/>
      <c r="E93" s="7" t="str">
        <f t="shared" si="2"/>
        <v>✕</v>
      </c>
      <c r="F93" s="5">
        <f>COUNTIFS(todayssatellite!$E:$E,データチェック!B93,todayssatellite!$F:$F,データチェック!C93)</f>
        <v>0</v>
      </c>
      <c r="G93" s="5" t="e">
        <f ca="1">OFFSET(todayssatellite!$B$1,MATCH(B93&amp;"_"&amp;C93,todayssatellite!$G:$G,0)-1,0)</f>
        <v>#N/A</v>
      </c>
      <c r="H93" s="6" t="s">
        <v>1635</v>
      </c>
      <c r="P93" s="11" t="s">
        <v>1093</v>
      </c>
      <c r="Q93" s="6">
        <v>1</v>
      </c>
    </row>
    <row r="94" spans="2:17" x14ac:dyDescent="0.15">
      <c r="B94" s="5" t="s">
        <v>1589</v>
      </c>
      <c r="C94" s="5">
        <v>9</v>
      </c>
      <c r="D94" s="5"/>
      <c r="E94" s="7" t="str">
        <f t="shared" si="2"/>
        <v>◯</v>
      </c>
      <c r="F94" s="5">
        <f>COUNTIFS(todayssatellite!$E:$E,データチェック!B94,todayssatellite!$F:$F,データチェック!C94)</f>
        <v>2</v>
      </c>
      <c r="G94" s="5" t="str">
        <f ca="1">OFFSET(todayssatellite!$B$1,MATCH(B94&amp;"_"&amp;C94,todayssatellite!$G:$G,0)-1,0)</f>
        <v>【今日の人工衛星】5/20(UTC) 2020年：こうのとり9号機(HTV-9) 宇宙ステーション補給機。6.2トンの物資をISSに無事輸送した。こうのとりは打ち上げに用いられたH-IIBロケットとともに、9号機をもって退役した。</v>
      </c>
      <c r="H94" s="6" t="s">
        <v>1635</v>
      </c>
      <c r="P94" s="11" t="s">
        <v>1683</v>
      </c>
      <c r="Q94" s="6">
        <v>1</v>
      </c>
    </row>
    <row r="95" spans="2:17" x14ac:dyDescent="0.15">
      <c r="B95" s="5" t="s">
        <v>1629</v>
      </c>
      <c r="C95" s="5">
        <v>1</v>
      </c>
      <c r="D95" s="5"/>
      <c r="E95" s="7" t="str">
        <f t="shared" si="2"/>
        <v>◯</v>
      </c>
      <c r="F95" s="5">
        <f>COUNTIFS(todayssatellite!$E:$E,データチェック!B95,todayssatellite!$F:$F,データチェック!C95)</f>
        <v>2</v>
      </c>
      <c r="G95" s="5" t="str">
        <f ca="1">OFFSET(todayssatellite!$B$1,MATCH(B95&amp;"_"&amp;C95,todayssatellite!$G:$G,0)-1,0)</f>
        <v>【今日の人工衛星】3/7 2023年：ALOS-3/H3ロケット初号機 第2段エンジンが起動せず打上が失敗。原因を3つまで絞り込んだ対策により、翌2024年2月17日の2号機打ち上げは成功した。</v>
      </c>
      <c r="H95" s="6" t="s">
        <v>1635</v>
      </c>
      <c r="P95" s="11" t="s">
        <v>1684</v>
      </c>
      <c r="Q95" s="6">
        <v>1</v>
      </c>
    </row>
    <row r="96" spans="2:17" x14ac:dyDescent="0.15">
      <c r="B96" s="5" t="s">
        <v>1629</v>
      </c>
      <c r="C96" s="5">
        <v>2</v>
      </c>
      <c r="D96" s="5"/>
      <c r="E96" s="7" t="str">
        <f t="shared" si="2"/>
        <v>◯</v>
      </c>
      <c r="F96" s="5">
        <f>COUNTIFS(todayssatellite!$E:$E,データチェック!B96,todayssatellite!$F:$F,データチェック!C96)</f>
        <v>2</v>
      </c>
      <c r="G96" s="5" t="str">
        <f ca="1">OFFSET(todayssatellite!$B$1,MATCH(B96&amp;"_"&amp;C96,todayssatellite!$G:$G,0)-1,0)</f>
        <v>【今日の人工衛星】2/17 2024年：ロケット性能確認用ペイロード（VEP-4） + CE-SAT-IE + TIRSAT H3ロケット2号機の打ち上げ性能・失敗の再発防止策の検証を目的とした打ち上げ。無事に成功し副衛星2機を軌道投入した。</v>
      </c>
      <c r="H96" s="6" t="s">
        <v>1635</v>
      </c>
      <c r="P96" s="11" t="s">
        <v>1094</v>
      </c>
      <c r="Q96" s="6">
        <v>1</v>
      </c>
    </row>
    <row r="97" spans="2:17" x14ac:dyDescent="0.15">
      <c r="B97" s="5" t="s">
        <v>1629</v>
      </c>
      <c r="C97" s="5">
        <v>3</v>
      </c>
      <c r="D97" s="5"/>
      <c r="E97" s="7" t="str">
        <f t="shared" ref="E97" si="3">IF(F97&gt;=2,"◯",IF(F97&gt;0,"△","✕"))</f>
        <v>◯</v>
      </c>
      <c r="F97" s="5">
        <f>COUNTIFS(todayssatellite!$E:$E,データチェック!B97,todayssatellite!$F:$F,データチェック!C97)</f>
        <v>2</v>
      </c>
      <c r="G97" s="5" t="str">
        <f ca="1">OFFSET(todayssatellite!$B$1,MATCH(B97&amp;"_"&amp;C97,todayssatellite!$G:$G,0)-1,0)</f>
        <v>【今日の人工衛星】7/1 2024年：先進レーダ衛星「だいち4号」(ALOS-4)　H3ロケット3号機で打ち上げ。先代のだいち2号（ALOS-2）の後を引き継ぎ、より強化されたLバンド合成開口レーダにより、地球を観測する</v>
      </c>
      <c r="P97" s="11" t="s">
        <v>1685</v>
      </c>
      <c r="Q97" s="6">
        <v>1</v>
      </c>
    </row>
    <row r="98" spans="2:17" x14ac:dyDescent="0.15">
      <c r="B98" s="5" t="s">
        <v>1868</v>
      </c>
      <c r="C98" s="5">
        <v>4</v>
      </c>
      <c r="D98" s="5"/>
      <c r="E98" s="7" t="str">
        <f t="shared" ref="E98:E100" si="4">IF(F98&gt;=2,"◯",IF(F98&gt;0,"△","✕"))</f>
        <v>◯</v>
      </c>
      <c r="F98" s="5">
        <f>COUNTIFS(todayssatellite!$E:$E,データチェック!B98,todayssatellite!$F:$F,データチェック!C98)</f>
        <v>2</v>
      </c>
      <c r="G98" s="5" t="str">
        <f ca="1">OFFSET(todayssatellite!$B$1,MATCH(B98&amp;"_"&amp;C98,todayssatellite!$G:$G,0)-1,0)</f>
        <v>【今日の人工衛星】11/4 2024年：Xバンド防衛通信衛星「きらめき3号」　H3ロケット4号機で打ち上げ。防衛省が保有し、自衛隊の指揮統制・作戦情報支援のための通信に利用される。</v>
      </c>
      <c r="P98" s="11" t="s">
        <v>1686</v>
      </c>
      <c r="Q98" s="6">
        <v>1</v>
      </c>
    </row>
    <row r="99" spans="2:17" x14ac:dyDescent="0.15">
      <c r="B99" s="5" t="s">
        <v>1868</v>
      </c>
      <c r="C99" s="5">
        <v>5</v>
      </c>
      <c r="D99" s="5"/>
      <c r="E99" s="7" t="str">
        <f t="shared" si="4"/>
        <v>◯</v>
      </c>
      <c r="F99" s="5">
        <f>COUNTIFS(todayssatellite!$E:$E,データチェック!B99,todayssatellite!$F:$F,データチェック!C99)</f>
        <v>2</v>
      </c>
      <c r="G99" s="5" t="str">
        <f ca="1">OFFSET(todayssatellite!$B$1,MATCH(B99&amp;"_"&amp;C99,todayssatellite!$G:$G,0)-1,0)</f>
        <v>【今日の人工衛星】2/2 2025年：「みちびき6号機」（準天頂衛星）(QZS-6)　H3ロケット5号機で打ち上げ。準天頂衛星システムの強化のため追加される3機の衛星の1つで、みちびき3号とおなじ静止軌道に投入される。</v>
      </c>
      <c r="P99" s="11" t="s">
        <v>1687</v>
      </c>
      <c r="Q99" s="6">
        <v>1</v>
      </c>
    </row>
    <row r="100" spans="2:17" x14ac:dyDescent="0.15">
      <c r="B100" s="5" t="s">
        <v>1868</v>
      </c>
      <c r="C100" s="5">
        <v>6</v>
      </c>
      <c r="D100" s="5"/>
      <c r="E100" s="7" t="str">
        <f t="shared" si="4"/>
        <v>✕</v>
      </c>
      <c r="F100" s="5">
        <f>COUNTIFS(todayssatellite!$E:$E,データチェック!B100,todayssatellite!$F:$F,データチェック!C100)</f>
        <v>0</v>
      </c>
      <c r="G100" s="5" t="e">
        <f ca="1">OFFSET(todayssatellite!$B$1,MATCH(B100&amp;"_"&amp;C100,todayssatellite!$G:$G,0)-1,0)</f>
        <v>#N/A</v>
      </c>
      <c r="P100" s="11" t="s">
        <v>1688</v>
      </c>
      <c r="Q100" s="6">
        <v>1</v>
      </c>
    </row>
    <row r="101" spans="2:17" x14ac:dyDescent="0.15">
      <c r="P101" s="11" t="s">
        <v>1689</v>
      </c>
      <c r="Q101" s="6">
        <v>1</v>
      </c>
    </row>
    <row r="102" spans="2:17" x14ac:dyDescent="0.15">
      <c r="P102" s="11" t="s">
        <v>1690</v>
      </c>
      <c r="Q102" s="6">
        <v>1</v>
      </c>
    </row>
    <row r="103" spans="2:17" x14ac:dyDescent="0.15">
      <c r="P103" s="11" t="s">
        <v>1691</v>
      </c>
      <c r="Q103" s="6">
        <v>1</v>
      </c>
    </row>
    <row r="104" spans="2:17" x14ac:dyDescent="0.15">
      <c r="P104" s="11" t="s">
        <v>1095</v>
      </c>
      <c r="Q104" s="6">
        <v>1</v>
      </c>
    </row>
    <row r="105" spans="2:17" x14ac:dyDescent="0.15">
      <c r="P105" s="11" t="s">
        <v>1692</v>
      </c>
      <c r="Q105" s="6">
        <v>1</v>
      </c>
    </row>
    <row r="106" spans="2:17" x14ac:dyDescent="0.15">
      <c r="P106" s="11" t="s">
        <v>1693</v>
      </c>
      <c r="Q106" s="6">
        <v>1</v>
      </c>
    </row>
    <row r="107" spans="2:17" x14ac:dyDescent="0.15">
      <c r="P107" s="11" t="s">
        <v>1694</v>
      </c>
      <c r="Q107" s="6">
        <v>1</v>
      </c>
    </row>
    <row r="108" spans="2:17" x14ac:dyDescent="0.15">
      <c r="P108" s="11" t="s">
        <v>1695</v>
      </c>
      <c r="Q108" s="6">
        <v>1</v>
      </c>
    </row>
    <row r="109" spans="2:17" x14ac:dyDescent="0.15">
      <c r="P109" s="11" t="s">
        <v>1696</v>
      </c>
      <c r="Q109" s="6">
        <v>1</v>
      </c>
    </row>
    <row r="110" spans="2:17" x14ac:dyDescent="0.15">
      <c r="P110" s="11" t="s">
        <v>1697</v>
      </c>
      <c r="Q110" s="6">
        <v>1</v>
      </c>
    </row>
    <row r="111" spans="2:17" x14ac:dyDescent="0.15">
      <c r="P111" s="11" t="s">
        <v>1096</v>
      </c>
      <c r="Q111" s="6">
        <v>1</v>
      </c>
    </row>
    <row r="112" spans="2:17" x14ac:dyDescent="0.15">
      <c r="P112" s="11" t="s">
        <v>1698</v>
      </c>
      <c r="Q112" s="6">
        <v>1</v>
      </c>
    </row>
    <row r="113" spans="16:17" x14ac:dyDescent="0.15">
      <c r="P113" s="11" t="s">
        <v>1097</v>
      </c>
      <c r="Q113" s="6">
        <v>1</v>
      </c>
    </row>
    <row r="114" spans="16:17" x14ac:dyDescent="0.15">
      <c r="P114" s="11" t="s">
        <v>1699</v>
      </c>
      <c r="Q114" s="6">
        <v>1</v>
      </c>
    </row>
    <row r="115" spans="16:17" x14ac:dyDescent="0.15">
      <c r="P115" s="11" t="s">
        <v>1700</v>
      </c>
      <c r="Q115" s="6">
        <v>1</v>
      </c>
    </row>
    <row r="116" spans="16:17" x14ac:dyDescent="0.15">
      <c r="P116" s="11" t="s">
        <v>1701</v>
      </c>
      <c r="Q116" s="6">
        <v>1</v>
      </c>
    </row>
    <row r="117" spans="16:17" x14ac:dyDescent="0.15">
      <c r="P117" s="11" t="s">
        <v>1098</v>
      </c>
      <c r="Q117" s="6">
        <v>1</v>
      </c>
    </row>
    <row r="118" spans="16:17" x14ac:dyDescent="0.15">
      <c r="P118" s="11" t="s">
        <v>1702</v>
      </c>
      <c r="Q118" s="6">
        <v>1</v>
      </c>
    </row>
    <row r="119" spans="16:17" x14ac:dyDescent="0.15">
      <c r="P119" s="11" t="s">
        <v>1703</v>
      </c>
      <c r="Q119" s="6">
        <v>1</v>
      </c>
    </row>
    <row r="120" spans="16:17" x14ac:dyDescent="0.15">
      <c r="P120" s="11" t="s">
        <v>1099</v>
      </c>
      <c r="Q120" s="6">
        <v>1</v>
      </c>
    </row>
    <row r="121" spans="16:17" x14ac:dyDescent="0.15">
      <c r="P121" s="11" t="s">
        <v>1100</v>
      </c>
      <c r="Q121" s="6">
        <v>1</v>
      </c>
    </row>
    <row r="122" spans="16:17" x14ac:dyDescent="0.15">
      <c r="P122" s="11" t="s">
        <v>1704</v>
      </c>
      <c r="Q122" s="6">
        <v>1</v>
      </c>
    </row>
    <row r="123" spans="16:17" x14ac:dyDescent="0.15">
      <c r="P123" s="11" t="s">
        <v>1705</v>
      </c>
      <c r="Q123" s="6">
        <v>1</v>
      </c>
    </row>
    <row r="124" spans="16:17" x14ac:dyDescent="0.15">
      <c r="P124" s="11" t="s">
        <v>1101</v>
      </c>
      <c r="Q124" s="6">
        <v>1</v>
      </c>
    </row>
    <row r="125" spans="16:17" x14ac:dyDescent="0.15">
      <c r="P125" s="11" t="s">
        <v>1706</v>
      </c>
      <c r="Q125" s="6">
        <v>1</v>
      </c>
    </row>
    <row r="126" spans="16:17" x14ac:dyDescent="0.15">
      <c r="P126" s="11" t="s">
        <v>1707</v>
      </c>
      <c r="Q126" s="6">
        <v>1</v>
      </c>
    </row>
    <row r="127" spans="16:17" x14ac:dyDescent="0.15">
      <c r="P127" s="11" t="s">
        <v>1102</v>
      </c>
      <c r="Q127" s="6">
        <v>1</v>
      </c>
    </row>
    <row r="128" spans="16:17" x14ac:dyDescent="0.15">
      <c r="P128" s="11" t="s">
        <v>1103</v>
      </c>
      <c r="Q128" s="6">
        <v>1</v>
      </c>
    </row>
    <row r="129" spans="16:17" x14ac:dyDescent="0.15">
      <c r="P129" s="11" t="s">
        <v>1708</v>
      </c>
      <c r="Q129" s="6">
        <v>1</v>
      </c>
    </row>
    <row r="130" spans="16:17" x14ac:dyDescent="0.15">
      <c r="P130" s="11" t="s">
        <v>1104</v>
      </c>
      <c r="Q130" s="6">
        <v>1</v>
      </c>
    </row>
    <row r="131" spans="16:17" x14ac:dyDescent="0.15">
      <c r="P131" s="11" t="s">
        <v>1105</v>
      </c>
      <c r="Q131" s="6">
        <v>1</v>
      </c>
    </row>
    <row r="132" spans="16:17" x14ac:dyDescent="0.15">
      <c r="P132" s="11" t="s">
        <v>1106</v>
      </c>
      <c r="Q132" s="6">
        <v>1</v>
      </c>
    </row>
    <row r="133" spans="16:17" x14ac:dyDescent="0.15">
      <c r="P133" s="11" t="s">
        <v>1107</v>
      </c>
      <c r="Q133" s="6">
        <v>1</v>
      </c>
    </row>
    <row r="134" spans="16:17" x14ac:dyDescent="0.15">
      <c r="P134" s="11" t="s">
        <v>1108</v>
      </c>
      <c r="Q134" s="6">
        <v>1</v>
      </c>
    </row>
    <row r="135" spans="16:17" x14ac:dyDescent="0.15">
      <c r="P135" s="11" t="s">
        <v>1109</v>
      </c>
      <c r="Q135" s="6">
        <v>1</v>
      </c>
    </row>
    <row r="136" spans="16:17" x14ac:dyDescent="0.15">
      <c r="P136" s="11" t="s">
        <v>1110</v>
      </c>
      <c r="Q136" s="6">
        <v>1</v>
      </c>
    </row>
    <row r="137" spans="16:17" x14ac:dyDescent="0.15">
      <c r="P137" s="11" t="s">
        <v>1111</v>
      </c>
      <c r="Q137" s="6">
        <v>1</v>
      </c>
    </row>
    <row r="138" spans="16:17" x14ac:dyDescent="0.15">
      <c r="P138" s="11" t="s">
        <v>1112</v>
      </c>
      <c r="Q138" s="6">
        <v>1</v>
      </c>
    </row>
    <row r="139" spans="16:17" x14ac:dyDescent="0.15">
      <c r="P139" s="11" t="s">
        <v>1709</v>
      </c>
      <c r="Q139" s="6">
        <v>1</v>
      </c>
    </row>
    <row r="140" spans="16:17" x14ac:dyDescent="0.15">
      <c r="P140" s="11" t="s">
        <v>1113</v>
      </c>
      <c r="Q140" s="6">
        <v>1</v>
      </c>
    </row>
    <row r="141" spans="16:17" x14ac:dyDescent="0.15">
      <c r="P141" s="11" t="s">
        <v>1114</v>
      </c>
      <c r="Q141" s="6">
        <v>1</v>
      </c>
    </row>
    <row r="142" spans="16:17" x14ac:dyDescent="0.15">
      <c r="P142" s="11" t="s">
        <v>1710</v>
      </c>
      <c r="Q142" s="6">
        <v>1</v>
      </c>
    </row>
    <row r="143" spans="16:17" x14ac:dyDescent="0.15">
      <c r="P143" s="11" t="s">
        <v>1115</v>
      </c>
      <c r="Q143" s="6">
        <v>1</v>
      </c>
    </row>
    <row r="144" spans="16:17" x14ac:dyDescent="0.15">
      <c r="P144" s="11" t="s">
        <v>1116</v>
      </c>
      <c r="Q144" s="6">
        <v>1</v>
      </c>
    </row>
    <row r="145" spans="16:17" x14ac:dyDescent="0.15">
      <c r="P145" s="11" t="s">
        <v>1117</v>
      </c>
      <c r="Q145" s="6">
        <v>1</v>
      </c>
    </row>
    <row r="146" spans="16:17" x14ac:dyDescent="0.15">
      <c r="P146" s="11" t="s">
        <v>1118</v>
      </c>
      <c r="Q146" s="6">
        <v>1</v>
      </c>
    </row>
    <row r="147" spans="16:17" x14ac:dyDescent="0.15">
      <c r="P147" s="11" t="s">
        <v>1119</v>
      </c>
      <c r="Q147" s="6">
        <v>1</v>
      </c>
    </row>
    <row r="148" spans="16:17" x14ac:dyDescent="0.15">
      <c r="P148" s="11" t="s">
        <v>1120</v>
      </c>
      <c r="Q148" s="6">
        <v>1</v>
      </c>
    </row>
    <row r="149" spans="16:17" x14ac:dyDescent="0.15">
      <c r="P149" s="11" t="s">
        <v>1121</v>
      </c>
      <c r="Q149" s="6">
        <v>1</v>
      </c>
    </row>
    <row r="150" spans="16:17" x14ac:dyDescent="0.15">
      <c r="P150" s="11" t="s">
        <v>1711</v>
      </c>
      <c r="Q150" s="6">
        <v>1</v>
      </c>
    </row>
    <row r="151" spans="16:17" x14ac:dyDescent="0.15">
      <c r="P151" s="11" t="s">
        <v>1122</v>
      </c>
      <c r="Q151" s="6">
        <v>1</v>
      </c>
    </row>
    <row r="152" spans="16:17" x14ac:dyDescent="0.15">
      <c r="P152" s="11" t="s">
        <v>1123</v>
      </c>
      <c r="Q152" s="6">
        <v>1</v>
      </c>
    </row>
    <row r="153" spans="16:17" x14ac:dyDescent="0.15">
      <c r="P153" s="11" t="s">
        <v>1124</v>
      </c>
      <c r="Q153" s="6">
        <v>1</v>
      </c>
    </row>
    <row r="154" spans="16:17" x14ac:dyDescent="0.15">
      <c r="P154" s="11" t="s">
        <v>1125</v>
      </c>
      <c r="Q154" s="6">
        <v>1</v>
      </c>
    </row>
    <row r="155" spans="16:17" x14ac:dyDescent="0.15">
      <c r="P155" s="11" t="s">
        <v>1126</v>
      </c>
      <c r="Q155" s="6">
        <v>1</v>
      </c>
    </row>
    <row r="156" spans="16:17" x14ac:dyDescent="0.15">
      <c r="P156" s="11" t="s">
        <v>1127</v>
      </c>
      <c r="Q156" s="6">
        <v>1</v>
      </c>
    </row>
    <row r="157" spans="16:17" x14ac:dyDescent="0.15">
      <c r="P157" s="11" t="s">
        <v>1128</v>
      </c>
      <c r="Q157" s="6">
        <v>1</v>
      </c>
    </row>
    <row r="158" spans="16:17" x14ac:dyDescent="0.15">
      <c r="P158" s="11" t="s">
        <v>1129</v>
      </c>
      <c r="Q158" s="6">
        <v>1</v>
      </c>
    </row>
    <row r="159" spans="16:17" x14ac:dyDescent="0.15">
      <c r="P159" s="11" t="s">
        <v>1130</v>
      </c>
      <c r="Q159" s="6">
        <v>1</v>
      </c>
    </row>
    <row r="160" spans="16:17" x14ac:dyDescent="0.15">
      <c r="P160" s="11" t="s">
        <v>1131</v>
      </c>
      <c r="Q160" s="6">
        <v>1</v>
      </c>
    </row>
    <row r="161" spans="16:17" x14ac:dyDescent="0.15">
      <c r="P161" s="11" t="s">
        <v>1712</v>
      </c>
      <c r="Q161" s="6">
        <v>1</v>
      </c>
    </row>
    <row r="162" spans="16:17" x14ac:dyDescent="0.15">
      <c r="P162" s="11" t="s">
        <v>1132</v>
      </c>
      <c r="Q162" s="6">
        <v>1</v>
      </c>
    </row>
    <row r="163" spans="16:17" x14ac:dyDescent="0.15">
      <c r="P163" s="11" t="s">
        <v>1133</v>
      </c>
      <c r="Q163" s="6">
        <v>1</v>
      </c>
    </row>
    <row r="164" spans="16:17" x14ac:dyDescent="0.15">
      <c r="P164" s="11" t="s">
        <v>1134</v>
      </c>
      <c r="Q164" s="6">
        <v>1</v>
      </c>
    </row>
    <row r="165" spans="16:17" x14ac:dyDescent="0.15">
      <c r="P165" s="11" t="s">
        <v>1135</v>
      </c>
      <c r="Q165" s="6">
        <v>1</v>
      </c>
    </row>
    <row r="166" spans="16:17" x14ac:dyDescent="0.15">
      <c r="P166" s="11" t="s">
        <v>1136</v>
      </c>
      <c r="Q166" s="6">
        <v>1</v>
      </c>
    </row>
    <row r="167" spans="16:17" x14ac:dyDescent="0.15">
      <c r="P167" s="11" t="s">
        <v>1137</v>
      </c>
      <c r="Q167" s="6">
        <v>1</v>
      </c>
    </row>
    <row r="168" spans="16:17" x14ac:dyDescent="0.15">
      <c r="P168" s="11" t="s">
        <v>1138</v>
      </c>
      <c r="Q168" s="6">
        <v>1</v>
      </c>
    </row>
    <row r="169" spans="16:17" x14ac:dyDescent="0.15">
      <c r="P169" s="11" t="s">
        <v>1139</v>
      </c>
      <c r="Q169" s="6">
        <v>1</v>
      </c>
    </row>
    <row r="170" spans="16:17" x14ac:dyDescent="0.15">
      <c r="P170" s="11" t="s">
        <v>1140</v>
      </c>
      <c r="Q170" s="6">
        <v>1</v>
      </c>
    </row>
    <row r="171" spans="16:17" x14ac:dyDescent="0.15">
      <c r="P171" s="11" t="s">
        <v>1141</v>
      </c>
      <c r="Q171" s="6">
        <v>1</v>
      </c>
    </row>
    <row r="172" spans="16:17" x14ac:dyDescent="0.15">
      <c r="P172" s="11" t="s">
        <v>1142</v>
      </c>
      <c r="Q172" s="6">
        <v>1</v>
      </c>
    </row>
    <row r="173" spans="16:17" x14ac:dyDescent="0.15">
      <c r="P173" s="11" t="s">
        <v>1143</v>
      </c>
      <c r="Q173" s="6">
        <v>1</v>
      </c>
    </row>
    <row r="174" spans="16:17" x14ac:dyDescent="0.15">
      <c r="P174" s="11" t="s">
        <v>1144</v>
      </c>
      <c r="Q174" s="6">
        <v>1</v>
      </c>
    </row>
    <row r="175" spans="16:17" x14ac:dyDescent="0.15">
      <c r="P175" s="11" t="s">
        <v>1145</v>
      </c>
      <c r="Q175" s="6">
        <v>1</v>
      </c>
    </row>
    <row r="176" spans="16:17" x14ac:dyDescent="0.15">
      <c r="P176" s="11" t="s">
        <v>1146</v>
      </c>
      <c r="Q176" s="6">
        <v>1</v>
      </c>
    </row>
    <row r="177" spans="16:17" x14ac:dyDescent="0.15">
      <c r="P177" s="11" t="s">
        <v>1713</v>
      </c>
      <c r="Q177" s="6">
        <v>1</v>
      </c>
    </row>
    <row r="178" spans="16:17" x14ac:dyDescent="0.15">
      <c r="P178" s="11" t="s">
        <v>1147</v>
      </c>
      <c r="Q178" s="6">
        <v>1</v>
      </c>
    </row>
    <row r="179" spans="16:17" x14ac:dyDescent="0.15">
      <c r="P179" s="11" t="s">
        <v>1714</v>
      </c>
      <c r="Q179" s="6">
        <v>1</v>
      </c>
    </row>
    <row r="180" spans="16:17" x14ac:dyDescent="0.15">
      <c r="P180" s="11" t="s">
        <v>1148</v>
      </c>
      <c r="Q180" s="6">
        <v>1</v>
      </c>
    </row>
    <row r="181" spans="16:17" x14ac:dyDescent="0.15">
      <c r="P181" s="11" t="s">
        <v>1149</v>
      </c>
      <c r="Q181" s="6">
        <v>1</v>
      </c>
    </row>
    <row r="182" spans="16:17" x14ac:dyDescent="0.15">
      <c r="P182" s="11" t="s">
        <v>1150</v>
      </c>
      <c r="Q182" s="6">
        <v>1</v>
      </c>
    </row>
    <row r="183" spans="16:17" x14ac:dyDescent="0.15">
      <c r="P183" s="11" t="s">
        <v>1715</v>
      </c>
      <c r="Q183" s="6">
        <v>1</v>
      </c>
    </row>
    <row r="184" spans="16:17" x14ac:dyDescent="0.15">
      <c r="P184" s="11" t="s">
        <v>1151</v>
      </c>
      <c r="Q184" s="6">
        <v>1</v>
      </c>
    </row>
    <row r="185" spans="16:17" x14ac:dyDescent="0.15">
      <c r="P185" s="11" t="s">
        <v>1152</v>
      </c>
      <c r="Q185" s="6">
        <v>1</v>
      </c>
    </row>
    <row r="186" spans="16:17" x14ac:dyDescent="0.15">
      <c r="P186" s="11" t="s">
        <v>1153</v>
      </c>
      <c r="Q186" s="6">
        <v>1</v>
      </c>
    </row>
    <row r="187" spans="16:17" x14ac:dyDescent="0.15">
      <c r="P187" s="11" t="s">
        <v>1154</v>
      </c>
      <c r="Q187" s="6">
        <v>1</v>
      </c>
    </row>
    <row r="188" spans="16:17" x14ac:dyDescent="0.15">
      <c r="P188" s="11" t="s">
        <v>1155</v>
      </c>
      <c r="Q188" s="6">
        <v>1</v>
      </c>
    </row>
    <row r="189" spans="16:17" x14ac:dyDescent="0.15">
      <c r="P189" s="11" t="s">
        <v>1156</v>
      </c>
      <c r="Q189" s="6">
        <v>1</v>
      </c>
    </row>
    <row r="190" spans="16:17" x14ac:dyDescent="0.15">
      <c r="P190" s="11" t="s">
        <v>1157</v>
      </c>
      <c r="Q190" s="6">
        <v>1</v>
      </c>
    </row>
    <row r="191" spans="16:17" x14ac:dyDescent="0.15">
      <c r="P191" s="11" t="s">
        <v>1158</v>
      </c>
      <c r="Q191" s="6">
        <v>1</v>
      </c>
    </row>
    <row r="192" spans="16:17" x14ac:dyDescent="0.15">
      <c r="P192" s="11" t="s">
        <v>1159</v>
      </c>
      <c r="Q192" s="6">
        <v>1</v>
      </c>
    </row>
    <row r="193" spans="16:17" x14ac:dyDescent="0.15">
      <c r="P193" s="11" t="s">
        <v>1160</v>
      </c>
      <c r="Q193" s="6">
        <v>1</v>
      </c>
    </row>
    <row r="194" spans="16:17" x14ac:dyDescent="0.15">
      <c r="P194" s="11" t="s">
        <v>1161</v>
      </c>
      <c r="Q194" s="6">
        <v>1</v>
      </c>
    </row>
    <row r="195" spans="16:17" x14ac:dyDescent="0.15">
      <c r="P195" s="11" t="s">
        <v>1162</v>
      </c>
      <c r="Q195" s="6">
        <v>1</v>
      </c>
    </row>
    <row r="196" spans="16:17" x14ac:dyDescent="0.15">
      <c r="P196" s="11" t="s">
        <v>1716</v>
      </c>
      <c r="Q196" s="6">
        <v>1</v>
      </c>
    </row>
    <row r="197" spans="16:17" x14ac:dyDescent="0.15">
      <c r="P197" s="11" t="s">
        <v>1163</v>
      </c>
      <c r="Q197" s="6">
        <v>1</v>
      </c>
    </row>
    <row r="198" spans="16:17" x14ac:dyDescent="0.15">
      <c r="P198" s="11" t="s">
        <v>1164</v>
      </c>
      <c r="Q198" s="6">
        <v>1</v>
      </c>
    </row>
    <row r="199" spans="16:17" x14ac:dyDescent="0.15">
      <c r="P199" s="11" t="s">
        <v>1165</v>
      </c>
      <c r="Q199" s="6">
        <v>1</v>
      </c>
    </row>
    <row r="200" spans="16:17" x14ac:dyDescent="0.15">
      <c r="P200" s="11" t="s">
        <v>1166</v>
      </c>
      <c r="Q200" s="6">
        <v>1</v>
      </c>
    </row>
    <row r="201" spans="16:17" x14ac:dyDescent="0.15">
      <c r="P201" s="11" t="s">
        <v>1167</v>
      </c>
      <c r="Q201" s="6">
        <v>1</v>
      </c>
    </row>
    <row r="202" spans="16:17" x14ac:dyDescent="0.15">
      <c r="P202" s="11" t="s">
        <v>1168</v>
      </c>
      <c r="Q202" s="6">
        <v>1</v>
      </c>
    </row>
    <row r="203" spans="16:17" x14ac:dyDescent="0.15">
      <c r="P203" s="11" t="s">
        <v>1169</v>
      </c>
      <c r="Q203" s="6">
        <v>1</v>
      </c>
    </row>
    <row r="204" spans="16:17" x14ac:dyDescent="0.15">
      <c r="P204" s="11" t="s">
        <v>1170</v>
      </c>
      <c r="Q204" s="6">
        <v>1</v>
      </c>
    </row>
    <row r="205" spans="16:17" x14ac:dyDescent="0.15">
      <c r="P205" s="11" t="s">
        <v>1171</v>
      </c>
      <c r="Q205" s="6">
        <v>1</v>
      </c>
    </row>
    <row r="206" spans="16:17" x14ac:dyDescent="0.15">
      <c r="P206" s="11" t="s">
        <v>1172</v>
      </c>
      <c r="Q206" s="6">
        <v>1</v>
      </c>
    </row>
    <row r="207" spans="16:17" x14ac:dyDescent="0.15">
      <c r="P207" s="11" t="s">
        <v>1173</v>
      </c>
      <c r="Q207" s="6">
        <v>1</v>
      </c>
    </row>
    <row r="208" spans="16:17" x14ac:dyDescent="0.15">
      <c r="P208" s="11" t="s">
        <v>1717</v>
      </c>
      <c r="Q208" s="6">
        <v>1</v>
      </c>
    </row>
    <row r="209" spans="16:17" x14ac:dyDescent="0.15">
      <c r="P209" s="11" t="s">
        <v>1718</v>
      </c>
      <c r="Q209" s="6">
        <v>1</v>
      </c>
    </row>
    <row r="210" spans="16:17" x14ac:dyDescent="0.15">
      <c r="P210" s="11" t="s">
        <v>1719</v>
      </c>
      <c r="Q210" s="6">
        <v>1</v>
      </c>
    </row>
    <row r="211" spans="16:17" x14ac:dyDescent="0.15">
      <c r="P211" s="11" t="s">
        <v>1720</v>
      </c>
      <c r="Q211" s="6">
        <v>1</v>
      </c>
    </row>
    <row r="212" spans="16:17" x14ac:dyDescent="0.15">
      <c r="P212" s="11" t="s">
        <v>1721</v>
      </c>
      <c r="Q212" s="6">
        <v>1</v>
      </c>
    </row>
    <row r="213" spans="16:17" x14ac:dyDescent="0.15">
      <c r="P213" s="11" t="s">
        <v>1722</v>
      </c>
      <c r="Q213" s="6">
        <v>1</v>
      </c>
    </row>
    <row r="214" spans="16:17" x14ac:dyDescent="0.15">
      <c r="P214" s="11" t="s">
        <v>1174</v>
      </c>
      <c r="Q214" s="6">
        <v>1</v>
      </c>
    </row>
    <row r="215" spans="16:17" x14ac:dyDescent="0.15">
      <c r="P215" s="11" t="s">
        <v>1175</v>
      </c>
      <c r="Q215" s="6">
        <v>1</v>
      </c>
    </row>
    <row r="216" spans="16:17" x14ac:dyDescent="0.15">
      <c r="P216" s="11" t="s">
        <v>1176</v>
      </c>
      <c r="Q216" s="6">
        <v>1</v>
      </c>
    </row>
    <row r="217" spans="16:17" x14ac:dyDescent="0.15">
      <c r="P217" s="11" t="s">
        <v>1177</v>
      </c>
      <c r="Q217" s="6">
        <v>1</v>
      </c>
    </row>
    <row r="218" spans="16:17" x14ac:dyDescent="0.15">
      <c r="P218" s="11" t="s">
        <v>1178</v>
      </c>
      <c r="Q218" s="6">
        <v>1</v>
      </c>
    </row>
    <row r="219" spans="16:17" x14ac:dyDescent="0.15">
      <c r="P219" s="11" t="s">
        <v>1723</v>
      </c>
      <c r="Q219" s="6">
        <v>1</v>
      </c>
    </row>
    <row r="220" spans="16:17" x14ac:dyDescent="0.15">
      <c r="P220" s="11" t="s">
        <v>1179</v>
      </c>
      <c r="Q220" s="6">
        <v>1</v>
      </c>
    </row>
    <row r="221" spans="16:17" x14ac:dyDescent="0.15">
      <c r="P221" s="11" t="s">
        <v>1180</v>
      </c>
      <c r="Q221" s="6">
        <v>1</v>
      </c>
    </row>
    <row r="222" spans="16:17" x14ac:dyDescent="0.15">
      <c r="P222" s="11" t="s">
        <v>1181</v>
      </c>
      <c r="Q222" s="6">
        <v>1</v>
      </c>
    </row>
    <row r="223" spans="16:17" x14ac:dyDescent="0.15">
      <c r="P223" s="11" t="s">
        <v>1182</v>
      </c>
      <c r="Q223" s="6">
        <v>1</v>
      </c>
    </row>
    <row r="224" spans="16:17" x14ac:dyDescent="0.15">
      <c r="P224" s="11" t="s">
        <v>1183</v>
      </c>
      <c r="Q224" s="6">
        <v>1</v>
      </c>
    </row>
    <row r="225" spans="16:17" x14ac:dyDescent="0.15">
      <c r="P225" s="11" t="s">
        <v>1184</v>
      </c>
      <c r="Q225" s="6">
        <v>1</v>
      </c>
    </row>
    <row r="226" spans="16:17" x14ac:dyDescent="0.15">
      <c r="P226" s="11" t="s">
        <v>1724</v>
      </c>
      <c r="Q226" s="6">
        <v>1</v>
      </c>
    </row>
    <row r="227" spans="16:17" x14ac:dyDescent="0.15">
      <c r="P227" s="11" t="s">
        <v>1725</v>
      </c>
      <c r="Q227" s="6">
        <v>1</v>
      </c>
    </row>
    <row r="228" spans="16:17" x14ac:dyDescent="0.15">
      <c r="P228" s="11" t="s">
        <v>1726</v>
      </c>
      <c r="Q228" s="6">
        <v>1</v>
      </c>
    </row>
    <row r="229" spans="16:17" x14ac:dyDescent="0.15">
      <c r="P229" s="11" t="s">
        <v>1727</v>
      </c>
      <c r="Q229" s="6">
        <v>1</v>
      </c>
    </row>
    <row r="230" spans="16:17" x14ac:dyDescent="0.15">
      <c r="P230" s="11" t="s">
        <v>1728</v>
      </c>
      <c r="Q230" s="6">
        <v>1</v>
      </c>
    </row>
    <row r="231" spans="16:17" x14ac:dyDescent="0.15">
      <c r="P231" s="11" t="s">
        <v>1729</v>
      </c>
      <c r="Q231" s="6">
        <v>1</v>
      </c>
    </row>
    <row r="232" spans="16:17" x14ac:dyDescent="0.15">
      <c r="P232" s="11" t="s">
        <v>1730</v>
      </c>
      <c r="Q232" s="6">
        <v>1</v>
      </c>
    </row>
    <row r="233" spans="16:17" x14ac:dyDescent="0.15">
      <c r="P233" s="11" t="s">
        <v>1185</v>
      </c>
      <c r="Q233" s="6">
        <v>1</v>
      </c>
    </row>
    <row r="234" spans="16:17" x14ac:dyDescent="0.15">
      <c r="P234" s="11" t="s">
        <v>1186</v>
      </c>
      <c r="Q234" s="6">
        <v>1</v>
      </c>
    </row>
    <row r="235" spans="16:17" x14ac:dyDescent="0.15">
      <c r="P235" s="11" t="s">
        <v>1187</v>
      </c>
      <c r="Q235" s="6">
        <v>1</v>
      </c>
    </row>
    <row r="236" spans="16:17" x14ac:dyDescent="0.15">
      <c r="P236" s="11" t="s">
        <v>1188</v>
      </c>
      <c r="Q236" s="6">
        <v>1</v>
      </c>
    </row>
    <row r="237" spans="16:17" x14ac:dyDescent="0.15">
      <c r="P237" s="11" t="s">
        <v>1189</v>
      </c>
      <c r="Q237" s="6">
        <v>1</v>
      </c>
    </row>
    <row r="238" spans="16:17" x14ac:dyDescent="0.15">
      <c r="P238" s="11" t="s">
        <v>1190</v>
      </c>
      <c r="Q238" s="6">
        <v>1</v>
      </c>
    </row>
    <row r="239" spans="16:17" x14ac:dyDescent="0.15">
      <c r="P239" s="11" t="s">
        <v>1191</v>
      </c>
      <c r="Q239" s="6">
        <v>1</v>
      </c>
    </row>
    <row r="240" spans="16:17" x14ac:dyDescent="0.15">
      <c r="P240" s="11" t="s">
        <v>1192</v>
      </c>
      <c r="Q240" s="6">
        <v>1</v>
      </c>
    </row>
    <row r="241" spans="16:17" x14ac:dyDescent="0.15">
      <c r="P241" s="11" t="s">
        <v>1193</v>
      </c>
      <c r="Q241" s="6">
        <v>1</v>
      </c>
    </row>
    <row r="242" spans="16:17" x14ac:dyDescent="0.15">
      <c r="P242" s="11" t="s">
        <v>1194</v>
      </c>
      <c r="Q242" s="6">
        <v>1</v>
      </c>
    </row>
    <row r="243" spans="16:17" x14ac:dyDescent="0.15">
      <c r="P243" s="11" t="s">
        <v>1731</v>
      </c>
      <c r="Q243" s="6">
        <v>1</v>
      </c>
    </row>
    <row r="244" spans="16:17" x14ac:dyDescent="0.15">
      <c r="P244" s="11" t="s">
        <v>1196</v>
      </c>
      <c r="Q244" s="6">
        <v>1</v>
      </c>
    </row>
    <row r="245" spans="16:17" x14ac:dyDescent="0.15">
      <c r="P245" s="11" t="s">
        <v>1732</v>
      </c>
      <c r="Q245" s="6">
        <v>1</v>
      </c>
    </row>
    <row r="246" spans="16:17" x14ac:dyDescent="0.15">
      <c r="P246" s="11" t="s">
        <v>1195</v>
      </c>
      <c r="Q246" s="6">
        <v>1</v>
      </c>
    </row>
    <row r="247" spans="16:17" x14ac:dyDescent="0.15">
      <c r="P247" s="11" t="s">
        <v>1197</v>
      </c>
      <c r="Q247" s="6">
        <v>1</v>
      </c>
    </row>
    <row r="248" spans="16:17" x14ac:dyDescent="0.15">
      <c r="P248" s="11" t="s">
        <v>1733</v>
      </c>
      <c r="Q248" s="6">
        <v>1</v>
      </c>
    </row>
    <row r="249" spans="16:17" x14ac:dyDescent="0.15">
      <c r="P249" s="11" t="s">
        <v>1734</v>
      </c>
      <c r="Q249" s="6">
        <v>1</v>
      </c>
    </row>
    <row r="250" spans="16:17" x14ac:dyDescent="0.15">
      <c r="P250" s="11" t="s">
        <v>1198</v>
      </c>
      <c r="Q250" s="6">
        <v>1</v>
      </c>
    </row>
    <row r="251" spans="16:17" x14ac:dyDescent="0.15">
      <c r="P251" s="11" t="s">
        <v>1199</v>
      </c>
      <c r="Q251" s="6">
        <v>1</v>
      </c>
    </row>
    <row r="252" spans="16:17" x14ac:dyDescent="0.15">
      <c r="P252" s="11" t="s">
        <v>1200</v>
      </c>
      <c r="Q252" s="6">
        <v>1</v>
      </c>
    </row>
    <row r="253" spans="16:17" x14ac:dyDescent="0.15">
      <c r="P253" s="11" t="s">
        <v>1201</v>
      </c>
      <c r="Q253" s="6">
        <v>1</v>
      </c>
    </row>
    <row r="254" spans="16:17" x14ac:dyDescent="0.15">
      <c r="P254" s="11" t="s">
        <v>1202</v>
      </c>
      <c r="Q254" s="6">
        <v>1</v>
      </c>
    </row>
    <row r="255" spans="16:17" x14ac:dyDescent="0.15">
      <c r="P255" s="11" t="s">
        <v>1203</v>
      </c>
      <c r="Q255" s="6">
        <v>1</v>
      </c>
    </row>
    <row r="256" spans="16:17" x14ac:dyDescent="0.15">
      <c r="P256" s="11" t="s">
        <v>1735</v>
      </c>
      <c r="Q256" s="6">
        <v>1</v>
      </c>
    </row>
    <row r="257" spans="16:17" x14ac:dyDescent="0.15">
      <c r="P257" s="11" t="s">
        <v>1204</v>
      </c>
      <c r="Q257" s="6">
        <v>1</v>
      </c>
    </row>
    <row r="258" spans="16:17" x14ac:dyDescent="0.15">
      <c r="P258" s="11" t="s">
        <v>1205</v>
      </c>
      <c r="Q258" s="6">
        <v>1</v>
      </c>
    </row>
    <row r="259" spans="16:17" x14ac:dyDescent="0.15">
      <c r="P259" s="11" t="s">
        <v>1206</v>
      </c>
      <c r="Q259" s="6">
        <v>1</v>
      </c>
    </row>
    <row r="260" spans="16:17" x14ac:dyDescent="0.15">
      <c r="P260" s="11" t="s">
        <v>1207</v>
      </c>
      <c r="Q260" s="6">
        <v>1</v>
      </c>
    </row>
    <row r="261" spans="16:17" x14ac:dyDescent="0.15">
      <c r="P261" s="11" t="s">
        <v>1736</v>
      </c>
      <c r="Q261" s="6">
        <v>1</v>
      </c>
    </row>
    <row r="262" spans="16:17" x14ac:dyDescent="0.15">
      <c r="P262" s="11" t="s">
        <v>1737</v>
      </c>
      <c r="Q262" s="6">
        <v>1</v>
      </c>
    </row>
    <row r="263" spans="16:17" x14ac:dyDescent="0.15">
      <c r="P263" s="11" t="s">
        <v>1208</v>
      </c>
      <c r="Q263" s="6">
        <v>1</v>
      </c>
    </row>
    <row r="264" spans="16:17" x14ac:dyDescent="0.15">
      <c r="P264" s="11" t="s">
        <v>1209</v>
      </c>
      <c r="Q264" s="6">
        <v>1</v>
      </c>
    </row>
    <row r="265" spans="16:17" x14ac:dyDescent="0.15">
      <c r="P265" s="11" t="s">
        <v>1210</v>
      </c>
      <c r="Q265" s="6">
        <v>1</v>
      </c>
    </row>
    <row r="266" spans="16:17" x14ac:dyDescent="0.15">
      <c r="P266" s="11" t="s">
        <v>1738</v>
      </c>
      <c r="Q266" s="6">
        <v>1</v>
      </c>
    </row>
    <row r="267" spans="16:17" x14ac:dyDescent="0.15">
      <c r="P267" s="11" t="s">
        <v>1211</v>
      </c>
      <c r="Q267" s="6">
        <v>1</v>
      </c>
    </row>
    <row r="268" spans="16:17" x14ac:dyDescent="0.15">
      <c r="P268" s="11" t="s">
        <v>1739</v>
      </c>
      <c r="Q268" s="6">
        <v>1</v>
      </c>
    </row>
    <row r="269" spans="16:17" x14ac:dyDescent="0.15">
      <c r="P269" s="11" t="s">
        <v>1740</v>
      </c>
      <c r="Q269" s="6">
        <v>1</v>
      </c>
    </row>
    <row r="270" spans="16:17" x14ac:dyDescent="0.15">
      <c r="P270" s="11" t="s">
        <v>1212</v>
      </c>
      <c r="Q270" s="6">
        <v>1</v>
      </c>
    </row>
    <row r="271" spans="16:17" x14ac:dyDescent="0.15">
      <c r="P271" s="11" t="s">
        <v>1213</v>
      </c>
      <c r="Q271" s="6">
        <v>1</v>
      </c>
    </row>
    <row r="272" spans="16:17" x14ac:dyDescent="0.15">
      <c r="P272" s="11" t="s">
        <v>1741</v>
      </c>
      <c r="Q272" s="6">
        <v>1</v>
      </c>
    </row>
    <row r="273" spans="16:17" x14ac:dyDescent="0.15">
      <c r="P273" s="11" t="s">
        <v>1214</v>
      </c>
      <c r="Q273" s="6">
        <v>1</v>
      </c>
    </row>
    <row r="274" spans="16:17" x14ac:dyDescent="0.15">
      <c r="P274" s="11" t="s">
        <v>1215</v>
      </c>
      <c r="Q274" s="6">
        <v>1</v>
      </c>
    </row>
    <row r="275" spans="16:17" x14ac:dyDescent="0.15">
      <c r="P275" s="11" t="s">
        <v>1216</v>
      </c>
      <c r="Q275" s="6">
        <v>1</v>
      </c>
    </row>
    <row r="276" spans="16:17" x14ac:dyDescent="0.15">
      <c r="P276" s="11" t="s">
        <v>1217</v>
      </c>
      <c r="Q276" s="6">
        <v>1</v>
      </c>
    </row>
    <row r="277" spans="16:17" x14ac:dyDescent="0.15">
      <c r="P277" s="11" t="s">
        <v>1218</v>
      </c>
      <c r="Q277" s="6">
        <v>1</v>
      </c>
    </row>
    <row r="278" spans="16:17" x14ac:dyDescent="0.15">
      <c r="P278" s="11" t="s">
        <v>1219</v>
      </c>
      <c r="Q278" s="6">
        <v>1</v>
      </c>
    </row>
    <row r="279" spans="16:17" x14ac:dyDescent="0.15">
      <c r="P279" s="11" t="s">
        <v>1220</v>
      </c>
      <c r="Q279" s="6">
        <v>1</v>
      </c>
    </row>
    <row r="280" spans="16:17" x14ac:dyDescent="0.15">
      <c r="P280" s="11" t="s">
        <v>1221</v>
      </c>
      <c r="Q280" s="6">
        <v>1</v>
      </c>
    </row>
    <row r="281" spans="16:17" x14ac:dyDescent="0.15">
      <c r="P281" s="11" t="s">
        <v>1222</v>
      </c>
      <c r="Q281" s="6">
        <v>1</v>
      </c>
    </row>
    <row r="282" spans="16:17" x14ac:dyDescent="0.15">
      <c r="P282" s="11" t="s">
        <v>1223</v>
      </c>
      <c r="Q282" s="6">
        <v>1</v>
      </c>
    </row>
    <row r="283" spans="16:17" x14ac:dyDescent="0.15">
      <c r="P283" s="11" t="s">
        <v>1224</v>
      </c>
      <c r="Q283" s="6">
        <v>1</v>
      </c>
    </row>
    <row r="284" spans="16:17" x14ac:dyDescent="0.15">
      <c r="P284" s="11" t="s">
        <v>1742</v>
      </c>
      <c r="Q284" s="6">
        <v>1</v>
      </c>
    </row>
    <row r="285" spans="16:17" x14ac:dyDescent="0.15">
      <c r="P285" s="11" t="s">
        <v>1225</v>
      </c>
      <c r="Q285" s="6">
        <v>1</v>
      </c>
    </row>
    <row r="286" spans="16:17" x14ac:dyDescent="0.15">
      <c r="P286" s="11" t="s">
        <v>1226</v>
      </c>
      <c r="Q286" s="6">
        <v>1</v>
      </c>
    </row>
    <row r="287" spans="16:17" x14ac:dyDescent="0.15">
      <c r="P287" s="11" t="s">
        <v>1227</v>
      </c>
      <c r="Q287" s="6">
        <v>1</v>
      </c>
    </row>
    <row r="288" spans="16:17" x14ac:dyDescent="0.15">
      <c r="P288" s="11" t="s">
        <v>1743</v>
      </c>
      <c r="Q288" s="6">
        <v>1</v>
      </c>
    </row>
    <row r="289" spans="16:17" x14ac:dyDescent="0.15">
      <c r="P289" s="11" t="s">
        <v>1228</v>
      </c>
      <c r="Q289" s="6">
        <v>1</v>
      </c>
    </row>
    <row r="290" spans="16:17" x14ac:dyDescent="0.15">
      <c r="P290" s="11" t="s">
        <v>1229</v>
      </c>
      <c r="Q290" s="6">
        <v>1</v>
      </c>
    </row>
    <row r="291" spans="16:17" x14ac:dyDescent="0.15">
      <c r="P291" s="11" t="s">
        <v>1230</v>
      </c>
      <c r="Q291" s="6">
        <v>1</v>
      </c>
    </row>
    <row r="292" spans="16:17" x14ac:dyDescent="0.15">
      <c r="P292" s="11" t="s">
        <v>1231</v>
      </c>
      <c r="Q292" s="6">
        <v>1</v>
      </c>
    </row>
    <row r="293" spans="16:17" x14ac:dyDescent="0.15">
      <c r="P293" s="11" t="s">
        <v>1232</v>
      </c>
      <c r="Q293" s="6">
        <v>1</v>
      </c>
    </row>
    <row r="294" spans="16:17" x14ac:dyDescent="0.15">
      <c r="P294" s="11" t="s">
        <v>1233</v>
      </c>
      <c r="Q294" s="6">
        <v>1</v>
      </c>
    </row>
    <row r="295" spans="16:17" x14ac:dyDescent="0.15">
      <c r="P295" s="11" t="s">
        <v>1234</v>
      </c>
      <c r="Q295" s="6">
        <v>1</v>
      </c>
    </row>
    <row r="296" spans="16:17" x14ac:dyDescent="0.15">
      <c r="P296" s="11" t="s">
        <v>1744</v>
      </c>
      <c r="Q296" s="6">
        <v>1</v>
      </c>
    </row>
    <row r="297" spans="16:17" x14ac:dyDescent="0.15">
      <c r="P297" s="11" t="s">
        <v>1235</v>
      </c>
      <c r="Q297" s="6">
        <v>1</v>
      </c>
    </row>
    <row r="298" spans="16:17" x14ac:dyDescent="0.15">
      <c r="P298" s="11" t="s">
        <v>1236</v>
      </c>
      <c r="Q298" s="6">
        <v>1</v>
      </c>
    </row>
    <row r="299" spans="16:17" x14ac:dyDescent="0.15">
      <c r="P299" s="11" t="s">
        <v>1237</v>
      </c>
      <c r="Q299" s="6">
        <v>1</v>
      </c>
    </row>
    <row r="300" spans="16:17" x14ac:dyDescent="0.15">
      <c r="P300" s="11" t="s">
        <v>1238</v>
      </c>
      <c r="Q300" s="6">
        <v>1</v>
      </c>
    </row>
    <row r="301" spans="16:17" x14ac:dyDescent="0.15">
      <c r="P301" s="11" t="s">
        <v>1745</v>
      </c>
      <c r="Q301" s="6">
        <v>1</v>
      </c>
    </row>
    <row r="302" spans="16:17" x14ac:dyDescent="0.15">
      <c r="P302" s="11" t="s">
        <v>1239</v>
      </c>
      <c r="Q302" s="6">
        <v>1</v>
      </c>
    </row>
    <row r="303" spans="16:17" x14ac:dyDescent="0.15">
      <c r="P303" s="11" t="s">
        <v>1746</v>
      </c>
      <c r="Q303" s="6">
        <v>1</v>
      </c>
    </row>
    <row r="304" spans="16:17" x14ac:dyDescent="0.15">
      <c r="P304" s="11" t="s">
        <v>1747</v>
      </c>
      <c r="Q304" s="6">
        <v>1</v>
      </c>
    </row>
    <row r="305" spans="16:17" x14ac:dyDescent="0.15">
      <c r="P305" s="11" t="s">
        <v>1240</v>
      </c>
      <c r="Q305" s="6">
        <v>1</v>
      </c>
    </row>
    <row r="306" spans="16:17" x14ac:dyDescent="0.15">
      <c r="P306" s="11" t="s">
        <v>1241</v>
      </c>
      <c r="Q306" s="6">
        <v>1</v>
      </c>
    </row>
    <row r="307" spans="16:17" x14ac:dyDescent="0.15">
      <c r="P307" s="11" t="s">
        <v>1242</v>
      </c>
      <c r="Q307" s="6">
        <v>1</v>
      </c>
    </row>
    <row r="308" spans="16:17" x14ac:dyDescent="0.15">
      <c r="P308" s="11" t="s">
        <v>1243</v>
      </c>
      <c r="Q308" s="6">
        <v>1</v>
      </c>
    </row>
    <row r="309" spans="16:17" x14ac:dyDescent="0.15">
      <c r="P309" s="11" t="s">
        <v>1244</v>
      </c>
      <c r="Q309" s="6">
        <v>1</v>
      </c>
    </row>
    <row r="310" spans="16:17" x14ac:dyDescent="0.15">
      <c r="P310" s="11" t="s">
        <v>1245</v>
      </c>
      <c r="Q310" s="6">
        <v>1</v>
      </c>
    </row>
    <row r="311" spans="16:17" x14ac:dyDescent="0.15">
      <c r="P311" s="11" t="s">
        <v>1246</v>
      </c>
      <c r="Q311" s="6">
        <v>1</v>
      </c>
    </row>
    <row r="312" spans="16:17" x14ac:dyDescent="0.15">
      <c r="P312" s="11" t="s">
        <v>1247</v>
      </c>
      <c r="Q312" s="6">
        <v>1</v>
      </c>
    </row>
    <row r="313" spans="16:17" x14ac:dyDescent="0.15">
      <c r="P313" s="11" t="s">
        <v>1748</v>
      </c>
      <c r="Q313" s="6">
        <v>1</v>
      </c>
    </row>
    <row r="314" spans="16:17" x14ac:dyDescent="0.15">
      <c r="P314" s="11" t="s">
        <v>1249</v>
      </c>
      <c r="Q314" s="6">
        <v>1</v>
      </c>
    </row>
    <row r="315" spans="16:17" x14ac:dyDescent="0.15">
      <c r="P315" s="11" t="s">
        <v>1749</v>
      </c>
      <c r="Q315" s="6">
        <v>1</v>
      </c>
    </row>
    <row r="316" spans="16:17" x14ac:dyDescent="0.15">
      <c r="P316" s="11" t="s">
        <v>1248</v>
      </c>
      <c r="Q316" s="6">
        <v>1</v>
      </c>
    </row>
    <row r="317" spans="16:17" x14ac:dyDescent="0.15">
      <c r="P317" s="11" t="s">
        <v>1250</v>
      </c>
      <c r="Q317" s="6">
        <v>1</v>
      </c>
    </row>
    <row r="318" spans="16:17" x14ac:dyDescent="0.15">
      <c r="P318" s="11" t="s">
        <v>1750</v>
      </c>
      <c r="Q318" s="6">
        <v>1</v>
      </c>
    </row>
    <row r="319" spans="16:17" x14ac:dyDescent="0.15">
      <c r="P319" s="11" t="s">
        <v>1251</v>
      </c>
      <c r="Q319" s="6">
        <v>1</v>
      </c>
    </row>
    <row r="320" spans="16:17" x14ac:dyDescent="0.15">
      <c r="P320" s="11" t="s">
        <v>1252</v>
      </c>
      <c r="Q320" s="6">
        <v>1</v>
      </c>
    </row>
    <row r="321" spans="16:17" x14ac:dyDescent="0.15">
      <c r="P321" s="11" t="s">
        <v>1253</v>
      </c>
      <c r="Q321" s="6">
        <v>1</v>
      </c>
    </row>
    <row r="322" spans="16:17" x14ac:dyDescent="0.15">
      <c r="P322" s="11" t="s">
        <v>1254</v>
      </c>
      <c r="Q322" s="6">
        <v>1</v>
      </c>
    </row>
    <row r="323" spans="16:17" x14ac:dyDescent="0.15">
      <c r="P323" s="11" t="s">
        <v>1255</v>
      </c>
      <c r="Q323" s="6">
        <v>1</v>
      </c>
    </row>
    <row r="324" spans="16:17" x14ac:dyDescent="0.15">
      <c r="P324" s="11" t="s">
        <v>1256</v>
      </c>
      <c r="Q324" s="6">
        <v>1</v>
      </c>
    </row>
    <row r="325" spans="16:17" x14ac:dyDescent="0.15">
      <c r="P325" s="11" t="s">
        <v>1258</v>
      </c>
      <c r="Q325" s="6">
        <v>1</v>
      </c>
    </row>
    <row r="326" spans="16:17" x14ac:dyDescent="0.15">
      <c r="P326" s="11" t="s">
        <v>1751</v>
      </c>
      <c r="Q326" s="6">
        <v>1</v>
      </c>
    </row>
    <row r="327" spans="16:17" x14ac:dyDescent="0.15">
      <c r="P327" s="11" t="s">
        <v>1257</v>
      </c>
      <c r="Q327" s="6">
        <v>1</v>
      </c>
    </row>
    <row r="328" spans="16:17" x14ac:dyDescent="0.15">
      <c r="P328" s="11" t="s">
        <v>1259</v>
      </c>
      <c r="Q328" s="6">
        <v>1</v>
      </c>
    </row>
    <row r="329" spans="16:17" x14ac:dyDescent="0.15">
      <c r="P329" s="11" t="s">
        <v>1261</v>
      </c>
      <c r="Q329" s="6">
        <v>1</v>
      </c>
    </row>
    <row r="330" spans="16:17" x14ac:dyDescent="0.15">
      <c r="P330" s="11" t="s">
        <v>1752</v>
      </c>
      <c r="Q330" s="6">
        <v>1</v>
      </c>
    </row>
    <row r="331" spans="16:17" x14ac:dyDescent="0.15">
      <c r="P331" s="11" t="s">
        <v>1260</v>
      </c>
      <c r="Q331" s="6">
        <v>1</v>
      </c>
    </row>
    <row r="332" spans="16:17" x14ac:dyDescent="0.15">
      <c r="P332" s="11" t="s">
        <v>1262</v>
      </c>
      <c r="Q332" s="6">
        <v>1</v>
      </c>
    </row>
    <row r="333" spans="16:17" x14ac:dyDescent="0.15">
      <c r="P333" s="11" t="s">
        <v>1263</v>
      </c>
      <c r="Q333" s="6">
        <v>1</v>
      </c>
    </row>
    <row r="334" spans="16:17" x14ac:dyDescent="0.15">
      <c r="P334" s="11" t="s">
        <v>1264</v>
      </c>
      <c r="Q334" s="6">
        <v>1</v>
      </c>
    </row>
    <row r="335" spans="16:17" x14ac:dyDescent="0.15">
      <c r="P335" s="11" t="s">
        <v>1265</v>
      </c>
      <c r="Q335" s="6">
        <v>1</v>
      </c>
    </row>
    <row r="336" spans="16:17" x14ac:dyDescent="0.15">
      <c r="P336" s="11" t="s">
        <v>1753</v>
      </c>
      <c r="Q336" s="6">
        <v>1</v>
      </c>
    </row>
    <row r="337" spans="16:17" x14ac:dyDescent="0.15">
      <c r="P337" s="11" t="s">
        <v>1266</v>
      </c>
      <c r="Q337" s="6">
        <v>1</v>
      </c>
    </row>
    <row r="338" spans="16:17" x14ac:dyDescent="0.15">
      <c r="P338" s="11" t="s">
        <v>1268</v>
      </c>
      <c r="Q338" s="6">
        <v>1</v>
      </c>
    </row>
    <row r="339" spans="16:17" x14ac:dyDescent="0.15">
      <c r="P339" s="11" t="s">
        <v>1754</v>
      </c>
      <c r="Q339" s="6">
        <v>1</v>
      </c>
    </row>
    <row r="340" spans="16:17" x14ac:dyDescent="0.15">
      <c r="P340" s="11" t="s">
        <v>1755</v>
      </c>
      <c r="Q340" s="6">
        <v>1</v>
      </c>
    </row>
    <row r="341" spans="16:17" x14ac:dyDescent="0.15">
      <c r="P341" s="11" t="s">
        <v>1267</v>
      </c>
      <c r="Q341" s="6">
        <v>1</v>
      </c>
    </row>
    <row r="342" spans="16:17" x14ac:dyDescent="0.15">
      <c r="P342" s="11" t="s">
        <v>1269</v>
      </c>
      <c r="Q342" s="6">
        <v>1</v>
      </c>
    </row>
    <row r="343" spans="16:17" x14ac:dyDescent="0.15">
      <c r="P343" s="11" t="s">
        <v>1756</v>
      </c>
      <c r="Q343" s="6">
        <v>1</v>
      </c>
    </row>
    <row r="344" spans="16:17" x14ac:dyDescent="0.15">
      <c r="P344" s="11" t="s">
        <v>1270</v>
      </c>
      <c r="Q344" s="6">
        <v>1</v>
      </c>
    </row>
    <row r="345" spans="16:17" x14ac:dyDescent="0.15">
      <c r="P345" s="11" t="s">
        <v>1271</v>
      </c>
      <c r="Q345" s="6">
        <v>1</v>
      </c>
    </row>
    <row r="346" spans="16:17" x14ac:dyDescent="0.15">
      <c r="P346" s="11" t="s">
        <v>1272</v>
      </c>
      <c r="Q346" s="6">
        <v>1</v>
      </c>
    </row>
    <row r="347" spans="16:17" x14ac:dyDescent="0.15">
      <c r="P347" s="11" t="s">
        <v>1757</v>
      </c>
      <c r="Q347" s="6">
        <v>1</v>
      </c>
    </row>
    <row r="348" spans="16:17" x14ac:dyDescent="0.15">
      <c r="P348" s="11" t="s">
        <v>1758</v>
      </c>
      <c r="Q348" s="6">
        <v>1</v>
      </c>
    </row>
    <row r="349" spans="16:17" x14ac:dyDescent="0.15">
      <c r="P349" s="11" t="s">
        <v>1273</v>
      </c>
      <c r="Q349" s="6">
        <v>1</v>
      </c>
    </row>
    <row r="350" spans="16:17" x14ac:dyDescent="0.15">
      <c r="P350" s="11" t="s">
        <v>1759</v>
      </c>
      <c r="Q350" s="6">
        <v>1</v>
      </c>
    </row>
    <row r="351" spans="16:17" x14ac:dyDescent="0.15">
      <c r="P351" s="11" t="s">
        <v>1274</v>
      </c>
      <c r="Q351" s="6">
        <v>1</v>
      </c>
    </row>
    <row r="352" spans="16:17" x14ac:dyDescent="0.15">
      <c r="P352" s="11" t="s">
        <v>1760</v>
      </c>
      <c r="Q352" s="6">
        <v>1</v>
      </c>
    </row>
    <row r="353" spans="16:17" x14ac:dyDescent="0.15">
      <c r="P353" s="11" t="s">
        <v>1275</v>
      </c>
      <c r="Q353" s="6">
        <v>1</v>
      </c>
    </row>
    <row r="354" spans="16:17" x14ac:dyDescent="0.15">
      <c r="P354" s="11" t="s">
        <v>1761</v>
      </c>
      <c r="Q354" s="6">
        <v>1</v>
      </c>
    </row>
    <row r="355" spans="16:17" x14ac:dyDescent="0.15">
      <c r="P355" s="11" t="s">
        <v>1276</v>
      </c>
      <c r="Q355" s="6">
        <v>1</v>
      </c>
    </row>
    <row r="356" spans="16:17" x14ac:dyDescent="0.15">
      <c r="P356" s="11" t="s">
        <v>1277</v>
      </c>
      <c r="Q356" s="6">
        <v>1</v>
      </c>
    </row>
    <row r="357" spans="16:17" x14ac:dyDescent="0.15">
      <c r="P357" s="11" t="s">
        <v>1279</v>
      </c>
      <c r="Q357" s="6">
        <v>1</v>
      </c>
    </row>
    <row r="358" spans="16:17" x14ac:dyDescent="0.15">
      <c r="P358" s="11" t="s">
        <v>1762</v>
      </c>
      <c r="Q358" s="6">
        <v>1</v>
      </c>
    </row>
    <row r="359" spans="16:17" x14ac:dyDescent="0.15">
      <c r="P359" s="11" t="s">
        <v>1278</v>
      </c>
      <c r="Q359" s="6">
        <v>1</v>
      </c>
    </row>
    <row r="360" spans="16:17" x14ac:dyDescent="0.15">
      <c r="P360" s="11" t="s">
        <v>1280</v>
      </c>
      <c r="Q360" s="6">
        <v>1</v>
      </c>
    </row>
    <row r="361" spans="16:17" x14ac:dyDescent="0.15">
      <c r="P361" s="11" t="s">
        <v>1763</v>
      </c>
      <c r="Q361" s="6">
        <v>1</v>
      </c>
    </row>
    <row r="362" spans="16:17" x14ac:dyDescent="0.15">
      <c r="P362" s="11" t="s">
        <v>1281</v>
      </c>
      <c r="Q362" s="6">
        <v>1</v>
      </c>
    </row>
    <row r="363" spans="16:17" x14ac:dyDescent="0.15">
      <c r="P363" s="11" t="s">
        <v>1282</v>
      </c>
      <c r="Q363" s="6">
        <v>1</v>
      </c>
    </row>
    <row r="364" spans="16:17" x14ac:dyDescent="0.15">
      <c r="P364" s="11" t="s">
        <v>1764</v>
      </c>
      <c r="Q364" s="6">
        <v>1</v>
      </c>
    </row>
    <row r="365" spans="16:17" x14ac:dyDescent="0.15">
      <c r="P365" s="11" t="s">
        <v>1283</v>
      </c>
      <c r="Q365" s="6">
        <v>1</v>
      </c>
    </row>
    <row r="366" spans="16:17" x14ac:dyDescent="0.15">
      <c r="P366" s="11" t="s">
        <v>1765</v>
      </c>
      <c r="Q366" s="6">
        <v>1</v>
      </c>
    </row>
    <row r="367" spans="16:17" x14ac:dyDescent="0.15">
      <c r="P367" s="11" t="s">
        <v>1766</v>
      </c>
      <c r="Q367" s="6">
        <v>1</v>
      </c>
    </row>
    <row r="368" spans="16:17" x14ac:dyDescent="0.15">
      <c r="P368" s="11" t="s">
        <v>1767</v>
      </c>
      <c r="Q368" s="6">
        <v>1</v>
      </c>
    </row>
    <row r="369" spans="16:17" x14ac:dyDescent="0.15">
      <c r="P369" s="11" t="s">
        <v>1284</v>
      </c>
      <c r="Q369" s="6">
        <v>1</v>
      </c>
    </row>
    <row r="370" spans="16:17" x14ac:dyDescent="0.15">
      <c r="P370" s="11" t="s">
        <v>1768</v>
      </c>
      <c r="Q370" s="6">
        <v>1</v>
      </c>
    </row>
    <row r="371" spans="16:17" x14ac:dyDescent="0.15">
      <c r="P371" s="11" t="s">
        <v>1285</v>
      </c>
      <c r="Q371" s="6">
        <v>1</v>
      </c>
    </row>
    <row r="372" spans="16:17" x14ac:dyDescent="0.15">
      <c r="P372" s="11" t="s">
        <v>1769</v>
      </c>
      <c r="Q372" s="6">
        <v>1</v>
      </c>
    </row>
    <row r="373" spans="16:17" x14ac:dyDescent="0.15">
      <c r="P373" s="11" t="s">
        <v>1286</v>
      </c>
      <c r="Q373" s="6">
        <v>1</v>
      </c>
    </row>
    <row r="374" spans="16:17" x14ac:dyDescent="0.15">
      <c r="P374" s="11" t="s">
        <v>1287</v>
      </c>
      <c r="Q374" s="6">
        <v>1</v>
      </c>
    </row>
    <row r="375" spans="16:17" x14ac:dyDescent="0.15">
      <c r="P375" s="11" t="s">
        <v>1288</v>
      </c>
      <c r="Q375" s="6">
        <v>1</v>
      </c>
    </row>
    <row r="376" spans="16:17" x14ac:dyDescent="0.15">
      <c r="P376" s="11" t="s">
        <v>1289</v>
      </c>
      <c r="Q376" s="6">
        <v>1</v>
      </c>
    </row>
    <row r="377" spans="16:17" x14ac:dyDescent="0.15">
      <c r="P377" s="11" t="s">
        <v>1770</v>
      </c>
      <c r="Q377" s="6">
        <v>1</v>
      </c>
    </row>
    <row r="378" spans="16:17" x14ac:dyDescent="0.15">
      <c r="P378" s="11" t="s">
        <v>1290</v>
      </c>
      <c r="Q378" s="6">
        <v>1</v>
      </c>
    </row>
    <row r="379" spans="16:17" x14ac:dyDescent="0.15">
      <c r="P379" s="11" t="s">
        <v>1292</v>
      </c>
      <c r="Q379" s="6">
        <v>1</v>
      </c>
    </row>
    <row r="380" spans="16:17" x14ac:dyDescent="0.15">
      <c r="P380" s="11" t="s">
        <v>1771</v>
      </c>
      <c r="Q380" s="6">
        <v>1</v>
      </c>
    </row>
    <row r="381" spans="16:17" x14ac:dyDescent="0.15">
      <c r="P381" s="11" t="s">
        <v>1772</v>
      </c>
      <c r="Q381" s="6">
        <v>1</v>
      </c>
    </row>
    <row r="382" spans="16:17" x14ac:dyDescent="0.15">
      <c r="P382" s="11" t="s">
        <v>1291</v>
      </c>
      <c r="Q382" s="6">
        <v>1</v>
      </c>
    </row>
    <row r="383" spans="16:17" x14ac:dyDescent="0.15">
      <c r="P383" s="11" t="s">
        <v>1293</v>
      </c>
      <c r="Q383" s="6">
        <v>1</v>
      </c>
    </row>
    <row r="384" spans="16:17" x14ac:dyDescent="0.15">
      <c r="P384" s="11" t="s">
        <v>1294</v>
      </c>
      <c r="Q384" s="6">
        <v>1</v>
      </c>
    </row>
    <row r="385" spans="16:17" x14ac:dyDescent="0.15">
      <c r="P385" s="11" t="s">
        <v>1295</v>
      </c>
      <c r="Q385" s="6">
        <v>1</v>
      </c>
    </row>
    <row r="386" spans="16:17" x14ac:dyDescent="0.15">
      <c r="P386" s="11" t="s">
        <v>1773</v>
      </c>
      <c r="Q386" s="6">
        <v>1</v>
      </c>
    </row>
    <row r="387" spans="16:17" x14ac:dyDescent="0.15">
      <c r="P387" s="11" t="s">
        <v>1296</v>
      </c>
      <c r="Q387" s="6">
        <v>1</v>
      </c>
    </row>
    <row r="388" spans="16:17" x14ac:dyDescent="0.15">
      <c r="P388" s="11" t="s">
        <v>1774</v>
      </c>
      <c r="Q388" s="6">
        <v>1</v>
      </c>
    </row>
    <row r="389" spans="16:17" x14ac:dyDescent="0.15">
      <c r="P389" s="11" t="s">
        <v>1775</v>
      </c>
      <c r="Q389" s="6">
        <v>1</v>
      </c>
    </row>
    <row r="390" spans="16:17" x14ac:dyDescent="0.15">
      <c r="P390" s="11" t="s">
        <v>1776</v>
      </c>
      <c r="Q390" s="6">
        <v>1</v>
      </c>
    </row>
    <row r="391" spans="16:17" x14ac:dyDescent="0.15">
      <c r="P391" s="11" t="s">
        <v>1777</v>
      </c>
      <c r="Q391" s="6">
        <v>1</v>
      </c>
    </row>
    <row r="392" spans="16:17" x14ac:dyDescent="0.15">
      <c r="P392" s="11" t="s">
        <v>1297</v>
      </c>
      <c r="Q392" s="6">
        <v>1</v>
      </c>
    </row>
    <row r="393" spans="16:17" x14ac:dyDescent="0.15">
      <c r="P393" s="11" t="s">
        <v>1778</v>
      </c>
      <c r="Q393" s="6">
        <v>1</v>
      </c>
    </row>
    <row r="394" spans="16:17" x14ac:dyDescent="0.15">
      <c r="P394" s="11" t="s">
        <v>1779</v>
      </c>
      <c r="Q394" s="6">
        <v>1</v>
      </c>
    </row>
    <row r="395" spans="16:17" x14ac:dyDescent="0.15">
      <c r="P395" s="11" t="s">
        <v>1780</v>
      </c>
      <c r="Q395" s="6">
        <v>1</v>
      </c>
    </row>
    <row r="396" spans="16:17" x14ac:dyDescent="0.15">
      <c r="P396" s="11" t="s">
        <v>1298</v>
      </c>
      <c r="Q396" s="6">
        <v>1</v>
      </c>
    </row>
    <row r="397" spans="16:17" x14ac:dyDescent="0.15">
      <c r="P397" s="11" t="s">
        <v>1299</v>
      </c>
      <c r="Q397" s="6">
        <v>1</v>
      </c>
    </row>
    <row r="398" spans="16:17" x14ac:dyDescent="0.15">
      <c r="P398" s="11" t="s">
        <v>1300</v>
      </c>
      <c r="Q398" s="6">
        <v>1</v>
      </c>
    </row>
    <row r="399" spans="16:17" x14ac:dyDescent="0.15">
      <c r="P399" s="11" t="s">
        <v>1781</v>
      </c>
      <c r="Q399" s="6">
        <v>1</v>
      </c>
    </row>
    <row r="400" spans="16:17" x14ac:dyDescent="0.15">
      <c r="P400" s="11" t="s">
        <v>1782</v>
      </c>
      <c r="Q400" s="6">
        <v>1</v>
      </c>
    </row>
    <row r="401" spans="16:17" x14ac:dyDescent="0.15">
      <c r="P401" s="11" t="s">
        <v>1783</v>
      </c>
      <c r="Q401" s="6">
        <v>1</v>
      </c>
    </row>
    <row r="402" spans="16:17" x14ac:dyDescent="0.15">
      <c r="P402" s="11" t="s">
        <v>1301</v>
      </c>
      <c r="Q402" s="6">
        <v>1</v>
      </c>
    </row>
    <row r="403" spans="16:17" x14ac:dyDescent="0.15">
      <c r="P403" s="11" t="s">
        <v>1302</v>
      </c>
      <c r="Q403" s="6">
        <v>1</v>
      </c>
    </row>
    <row r="404" spans="16:17" x14ac:dyDescent="0.15">
      <c r="P404" s="11" t="s">
        <v>1784</v>
      </c>
      <c r="Q404" s="6">
        <v>1</v>
      </c>
    </row>
    <row r="405" spans="16:17" x14ac:dyDescent="0.15">
      <c r="P405" s="11" t="s">
        <v>1785</v>
      </c>
      <c r="Q405" s="6">
        <v>1</v>
      </c>
    </row>
    <row r="406" spans="16:17" x14ac:dyDescent="0.15">
      <c r="P406" s="11" t="s">
        <v>1786</v>
      </c>
      <c r="Q406" s="6">
        <v>1</v>
      </c>
    </row>
    <row r="407" spans="16:17" x14ac:dyDescent="0.15">
      <c r="P407" s="11" t="s">
        <v>1303</v>
      </c>
      <c r="Q407" s="6">
        <v>1</v>
      </c>
    </row>
    <row r="408" spans="16:17" x14ac:dyDescent="0.15">
      <c r="P408" s="11" t="s">
        <v>1304</v>
      </c>
      <c r="Q408" s="6">
        <v>1</v>
      </c>
    </row>
    <row r="409" spans="16:17" x14ac:dyDescent="0.15">
      <c r="P409" s="11" t="s">
        <v>1305</v>
      </c>
      <c r="Q409" s="6">
        <v>1</v>
      </c>
    </row>
    <row r="410" spans="16:17" x14ac:dyDescent="0.15">
      <c r="P410" s="11" t="s">
        <v>1306</v>
      </c>
      <c r="Q410" s="6">
        <v>1</v>
      </c>
    </row>
    <row r="411" spans="16:17" x14ac:dyDescent="0.15">
      <c r="P411" s="11" t="s">
        <v>1307</v>
      </c>
      <c r="Q411" s="6">
        <v>1</v>
      </c>
    </row>
    <row r="412" spans="16:17" x14ac:dyDescent="0.15">
      <c r="P412" s="11" t="s">
        <v>1309</v>
      </c>
      <c r="Q412" s="6">
        <v>1</v>
      </c>
    </row>
    <row r="413" spans="16:17" x14ac:dyDescent="0.15">
      <c r="P413" s="11" t="s">
        <v>1787</v>
      </c>
      <c r="Q413" s="6">
        <v>1</v>
      </c>
    </row>
    <row r="414" spans="16:17" x14ac:dyDescent="0.15">
      <c r="P414" s="11" t="s">
        <v>1788</v>
      </c>
      <c r="Q414" s="6">
        <v>1</v>
      </c>
    </row>
    <row r="415" spans="16:17" x14ac:dyDescent="0.15">
      <c r="P415" s="11" t="s">
        <v>1789</v>
      </c>
      <c r="Q415" s="6">
        <v>1</v>
      </c>
    </row>
    <row r="416" spans="16:17" x14ac:dyDescent="0.15">
      <c r="P416" s="11" t="s">
        <v>1308</v>
      </c>
      <c r="Q416" s="6">
        <v>1</v>
      </c>
    </row>
    <row r="417" spans="16:17" x14ac:dyDescent="0.15">
      <c r="P417" s="11" t="s">
        <v>1310</v>
      </c>
      <c r="Q417" s="6">
        <v>1</v>
      </c>
    </row>
    <row r="418" spans="16:17" x14ac:dyDescent="0.15">
      <c r="P418" s="11" t="s">
        <v>1311</v>
      </c>
      <c r="Q418" s="6">
        <v>1</v>
      </c>
    </row>
    <row r="419" spans="16:17" x14ac:dyDescent="0.15">
      <c r="P419" s="11" t="s">
        <v>1312</v>
      </c>
      <c r="Q419" s="6">
        <v>1</v>
      </c>
    </row>
    <row r="420" spans="16:17" x14ac:dyDescent="0.15">
      <c r="P420" s="11" t="s">
        <v>1313</v>
      </c>
      <c r="Q420" s="6">
        <v>1</v>
      </c>
    </row>
    <row r="421" spans="16:17" x14ac:dyDescent="0.15">
      <c r="P421" s="11" t="s">
        <v>1314</v>
      </c>
      <c r="Q421" s="6">
        <v>1</v>
      </c>
    </row>
    <row r="422" spans="16:17" x14ac:dyDescent="0.15">
      <c r="P422" s="11" t="s">
        <v>1790</v>
      </c>
      <c r="Q422" s="6">
        <v>1</v>
      </c>
    </row>
    <row r="423" spans="16:17" x14ac:dyDescent="0.15">
      <c r="P423" s="11" t="s">
        <v>1315</v>
      </c>
      <c r="Q423" s="6">
        <v>1</v>
      </c>
    </row>
    <row r="424" spans="16:17" x14ac:dyDescent="0.15">
      <c r="P424" s="11" t="s">
        <v>1316</v>
      </c>
      <c r="Q424" s="6">
        <v>1</v>
      </c>
    </row>
    <row r="425" spans="16:17" x14ac:dyDescent="0.15">
      <c r="P425" s="11" t="s">
        <v>1317</v>
      </c>
      <c r="Q425" s="6">
        <v>1</v>
      </c>
    </row>
    <row r="426" spans="16:17" x14ac:dyDescent="0.15">
      <c r="P426" s="11" t="s">
        <v>1318</v>
      </c>
      <c r="Q426" s="6">
        <v>1</v>
      </c>
    </row>
    <row r="427" spans="16:17" x14ac:dyDescent="0.15">
      <c r="P427" s="11" t="s">
        <v>1319</v>
      </c>
      <c r="Q427" s="6">
        <v>1</v>
      </c>
    </row>
    <row r="428" spans="16:17" x14ac:dyDescent="0.15">
      <c r="P428" s="11" t="s">
        <v>1791</v>
      </c>
      <c r="Q428" s="6">
        <v>1</v>
      </c>
    </row>
    <row r="429" spans="16:17" x14ac:dyDescent="0.15">
      <c r="P429" s="11" t="s">
        <v>1320</v>
      </c>
      <c r="Q429" s="6">
        <v>1</v>
      </c>
    </row>
    <row r="430" spans="16:17" x14ac:dyDescent="0.15">
      <c r="P430" s="11" t="s">
        <v>1321</v>
      </c>
      <c r="Q430" s="6">
        <v>1</v>
      </c>
    </row>
    <row r="431" spans="16:17" x14ac:dyDescent="0.15">
      <c r="P431" s="11" t="s">
        <v>1322</v>
      </c>
      <c r="Q431" s="6">
        <v>1</v>
      </c>
    </row>
    <row r="432" spans="16:17" x14ac:dyDescent="0.15">
      <c r="P432" s="11" t="s">
        <v>1792</v>
      </c>
      <c r="Q432" s="6">
        <v>1</v>
      </c>
    </row>
    <row r="433" spans="16:17" x14ac:dyDescent="0.15">
      <c r="P433" s="11" t="s">
        <v>1323</v>
      </c>
      <c r="Q433" s="6">
        <v>1</v>
      </c>
    </row>
    <row r="434" spans="16:17" x14ac:dyDescent="0.15">
      <c r="P434" s="11" t="s">
        <v>1324</v>
      </c>
      <c r="Q434" s="6">
        <v>1</v>
      </c>
    </row>
    <row r="435" spans="16:17" x14ac:dyDescent="0.15">
      <c r="P435" s="11" t="s">
        <v>1325</v>
      </c>
      <c r="Q435" s="6">
        <v>1</v>
      </c>
    </row>
    <row r="436" spans="16:17" x14ac:dyDescent="0.15">
      <c r="P436" s="11" t="s">
        <v>1326</v>
      </c>
      <c r="Q436" s="6">
        <v>1</v>
      </c>
    </row>
    <row r="437" spans="16:17" x14ac:dyDescent="0.15">
      <c r="P437" s="11" t="s">
        <v>1327</v>
      </c>
      <c r="Q437" s="6">
        <v>1</v>
      </c>
    </row>
    <row r="438" spans="16:17" x14ac:dyDescent="0.15">
      <c r="P438" s="11" t="s">
        <v>1328</v>
      </c>
      <c r="Q438" s="6">
        <v>1</v>
      </c>
    </row>
    <row r="439" spans="16:17" x14ac:dyDescent="0.15">
      <c r="P439" s="11" t="s">
        <v>1793</v>
      </c>
      <c r="Q439" s="6">
        <v>1</v>
      </c>
    </row>
    <row r="440" spans="16:17" x14ac:dyDescent="0.15">
      <c r="P440" s="11" t="s">
        <v>1329</v>
      </c>
      <c r="Q440" s="6">
        <v>1</v>
      </c>
    </row>
    <row r="441" spans="16:17" x14ac:dyDescent="0.15">
      <c r="P441" s="11" t="s">
        <v>1330</v>
      </c>
      <c r="Q441" s="6">
        <v>1</v>
      </c>
    </row>
    <row r="442" spans="16:17" x14ac:dyDescent="0.15">
      <c r="P442" s="11" t="s">
        <v>1331</v>
      </c>
      <c r="Q442" s="6">
        <v>1</v>
      </c>
    </row>
    <row r="443" spans="16:17" x14ac:dyDescent="0.15">
      <c r="P443" s="11" t="s">
        <v>1332</v>
      </c>
      <c r="Q443" s="6">
        <v>1</v>
      </c>
    </row>
    <row r="444" spans="16:17" x14ac:dyDescent="0.15">
      <c r="P444" s="11" t="s">
        <v>1333</v>
      </c>
      <c r="Q444" s="6">
        <v>1</v>
      </c>
    </row>
    <row r="445" spans="16:17" x14ac:dyDescent="0.15">
      <c r="P445" s="11" t="s">
        <v>1334</v>
      </c>
      <c r="Q445" s="6">
        <v>1</v>
      </c>
    </row>
    <row r="446" spans="16:17" x14ac:dyDescent="0.15">
      <c r="P446" s="11" t="s">
        <v>1335</v>
      </c>
      <c r="Q446" s="6">
        <v>1</v>
      </c>
    </row>
    <row r="447" spans="16:17" x14ac:dyDescent="0.15">
      <c r="P447" s="11" t="s">
        <v>1336</v>
      </c>
      <c r="Q447" s="6">
        <v>1</v>
      </c>
    </row>
    <row r="448" spans="16:17" x14ac:dyDescent="0.15">
      <c r="P448" s="11" t="s">
        <v>1337</v>
      </c>
      <c r="Q448" s="6">
        <v>1</v>
      </c>
    </row>
    <row r="449" spans="16:17" x14ac:dyDescent="0.15">
      <c r="P449" s="11" t="s">
        <v>1338</v>
      </c>
      <c r="Q449" s="6">
        <v>1</v>
      </c>
    </row>
    <row r="450" spans="16:17" x14ac:dyDescent="0.15">
      <c r="P450" s="11" t="s">
        <v>1339</v>
      </c>
      <c r="Q450" s="6">
        <v>1</v>
      </c>
    </row>
    <row r="451" spans="16:17" x14ac:dyDescent="0.15">
      <c r="P451" s="11" t="s">
        <v>1340</v>
      </c>
      <c r="Q451" s="6">
        <v>1</v>
      </c>
    </row>
    <row r="452" spans="16:17" x14ac:dyDescent="0.15">
      <c r="P452" s="11" t="s">
        <v>1341</v>
      </c>
      <c r="Q452" s="6">
        <v>1</v>
      </c>
    </row>
    <row r="453" spans="16:17" x14ac:dyDescent="0.15">
      <c r="P453" s="11" t="s">
        <v>1342</v>
      </c>
      <c r="Q453" s="6">
        <v>1</v>
      </c>
    </row>
    <row r="454" spans="16:17" x14ac:dyDescent="0.15">
      <c r="P454" s="11" t="s">
        <v>1343</v>
      </c>
      <c r="Q454" s="6">
        <v>1</v>
      </c>
    </row>
    <row r="455" spans="16:17" x14ac:dyDescent="0.15">
      <c r="P455" s="11" t="s">
        <v>1344</v>
      </c>
      <c r="Q455" s="6">
        <v>1</v>
      </c>
    </row>
    <row r="456" spans="16:17" x14ac:dyDescent="0.15">
      <c r="P456" s="11" t="s">
        <v>1345</v>
      </c>
      <c r="Q456" s="6">
        <v>1</v>
      </c>
    </row>
    <row r="457" spans="16:17" x14ac:dyDescent="0.15">
      <c r="P457" s="11" t="s">
        <v>1346</v>
      </c>
      <c r="Q457" s="6">
        <v>1</v>
      </c>
    </row>
    <row r="458" spans="16:17" x14ac:dyDescent="0.15">
      <c r="P458" s="11" t="s">
        <v>1347</v>
      </c>
      <c r="Q458" s="6">
        <v>1</v>
      </c>
    </row>
    <row r="459" spans="16:17" x14ac:dyDescent="0.15">
      <c r="P459" s="11" t="s">
        <v>1348</v>
      </c>
      <c r="Q459" s="6">
        <v>1</v>
      </c>
    </row>
    <row r="460" spans="16:17" x14ac:dyDescent="0.15">
      <c r="P460" s="11" t="s">
        <v>1349</v>
      </c>
      <c r="Q460" s="6">
        <v>1</v>
      </c>
    </row>
    <row r="461" spans="16:17" x14ac:dyDescent="0.15">
      <c r="P461" s="11" t="s">
        <v>1350</v>
      </c>
      <c r="Q461" s="6">
        <v>1</v>
      </c>
    </row>
    <row r="462" spans="16:17" x14ac:dyDescent="0.15">
      <c r="P462" s="11" t="s">
        <v>1351</v>
      </c>
      <c r="Q462" s="6">
        <v>1</v>
      </c>
    </row>
    <row r="463" spans="16:17" x14ac:dyDescent="0.15">
      <c r="P463" s="11" t="s">
        <v>1352</v>
      </c>
      <c r="Q463" s="6">
        <v>1</v>
      </c>
    </row>
    <row r="464" spans="16:17" x14ac:dyDescent="0.15">
      <c r="P464" s="11" t="s">
        <v>1353</v>
      </c>
      <c r="Q464" s="6">
        <v>1</v>
      </c>
    </row>
    <row r="465" spans="16:17" x14ac:dyDescent="0.15">
      <c r="P465" s="11" t="s">
        <v>1354</v>
      </c>
      <c r="Q465" s="6">
        <v>1</v>
      </c>
    </row>
    <row r="466" spans="16:17" x14ac:dyDescent="0.15">
      <c r="P466" s="11" t="s">
        <v>1355</v>
      </c>
      <c r="Q466" s="6">
        <v>1</v>
      </c>
    </row>
    <row r="467" spans="16:17" x14ac:dyDescent="0.15">
      <c r="P467" s="11" t="s">
        <v>1356</v>
      </c>
      <c r="Q467" s="6">
        <v>1</v>
      </c>
    </row>
    <row r="468" spans="16:17" x14ac:dyDescent="0.15">
      <c r="P468" s="11" t="s">
        <v>1357</v>
      </c>
      <c r="Q468" s="6">
        <v>1</v>
      </c>
    </row>
    <row r="469" spans="16:17" x14ac:dyDescent="0.15">
      <c r="P469" s="11" t="s">
        <v>1358</v>
      </c>
      <c r="Q469" s="6">
        <v>1</v>
      </c>
    </row>
    <row r="470" spans="16:17" x14ac:dyDescent="0.15">
      <c r="P470" s="11" t="s">
        <v>1359</v>
      </c>
      <c r="Q470" s="6">
        <v>1</v>
      </c>
    </row>
    <row r="471" spans="16:17" x14ac:dyDescent="0.15">
      <c r="P471" s="11" t="s">
        <v>1794</v>
      </c>
      <c r="Q471" s="6">
        <v>1</v>
      </c>
    </row>
    <row r="472" spans="16:17" x14ac:dyDescent="0.15">
      <c r="P472" s="11" t="s">
        <v>1360</v>
      </c>
      <c r="Q472" s="6">
        <v>1</v>
      </c>
    </row>
    <row r="473" spans="16:17" x14ac:dyDescent="0.15">
      <c r="P473" s="11" t="s">
        <v>1361</v>
      </c>
      <c r="Q473" s="6">
        <v>1</v>
      </c>
    </row>
    <row r="474" spans="16:17" x14ac:dyDescent="0.15">
      <c r="P474" s="11" t="s">
        <v>1362</v>
      </c>
      <c r="Q474" s="6">
        <v>1</v>
      </c>
    </row>
    <row r="475" spans="16:17" x14ac:dyDescent="0.15">
      <c r="P475" s="11" t="s">
        <v>1795</v>
      </c>
      <c r="Q475" s="6">
        <v>1</v>
      </c>
    </row>
    <row r="476" spans="16:17" x14ac:dyDescent="0.15">
      <c r="P476" s="11" t="s">
        <v>1796</v>
      </c>
      <c r="Q476" s="6">
        <v>1</v>
      </c>
    </row>
    <row r="477" spans="16:17" x14ac:dyDescent="0.15">
      <c r="P477" s="11" t="s">
        <v>1363</v>
      </c>
      <c r="Q477" s="6">
        <v>1</v>
      </c>
    </row>
    <row r="478" spans="16:17" x14ac:dyDescent="0.15">
      <c r="P478" s="11" t="s">
        <v>1364</v>
      </c>
      <c r="Q478" s="6">
        <v>1</v>
      </c>
    </row>
    <row r="479" spans="16:17" x14ac:dyDescent="0.15">
      <c r="P479" s="11" t="s">
        <v>1365</v>
      </c>
      <c r="Q479" s="6">
        <v>1</v>
      </c>
    </row>
    <row r="480" spans="16:17" x14ac:dyDescent="0.15">
      <c r="P480" s="11" t="s">
        <v>1366</v>
      </c>
      <c r="Q480" s="6">
        <v>1</v>
      </c>
    </row>
    <row r="481" spans="16:17" x14ac:dyDescent="0.15">
      <c r="P481" s="11" t="s">
        <v>1367</v>
      </c>
      <c r="Q481" s="6">
        <v>1</v>
      </c>
    </row>
    <row r="482" spans="16:17" x14ac:dyDescent="0.15">
      <c r="P482" s="11" t="s">
        <v>1368</v>
      </c>
      <c r="Q482" s="6">
        <v>1</v>
      </c>
    </row>
    <row r="483" spans="16:17" x14ac:dyDescent="0.15">
      <c r="P483" s="11" t="s">
        <v>1369</v>
      </c>
      <c r="Q483" s="6">
        <v>1</v>
      </c>
    </row>
    <row r="484" spans="16:17" x14ac:dyDescent="0.15">
      <c r="P484" s="11" t="s">
        <v>1370</v>
      </c>
      <c r="Q484" s="6">
        <v>1</v>
      </c>
    </row>
    <row r="485" spans="16:17" x14ac:dyDescent="0.15">
      <c r="P485" s="11" t="s">
        <v>1371</v>
      </c>
      <c r="Q485" s="6">
        <v>1</v>
      </c>
    </row>
    <row r="486" spans="16:17" x14ac:dyDescent="0.15">
      <c r="P486" s="11" t="s">
        <v>1372</v>
      </c>
      <c r="Q486" s="6">
        <v>1</v>
      </c>
    </row>
    <row r="487" spans="16:17" x14ac:dyDescent="0.15">
      <c r="P487" s="11" t="s">
        <v>1373</v>
      </c>
      <c r="Q487" s="6">
        <v>1</v>
      </c>
    </row>
    <row r="488" spans="16:17" x14ac:dyDescent="0.15">
      <c r="P488" s="11" t="s">
        <v>1375</v>
      </c>
      <c r="Q488" s="6">
        <v>1</v>
      </c>
    </row>
    <row r="489" spans="16:17" x14ac:dyDescent="0.15">
      <c r="P489" s="11" t="s">
        <v>1797</v>
      </c>
      <c r="Q489" s="6">
        <v>1</v>
      </c>
    </row>
    <row r="490" spans="16:17" x14ac:dyDescent="0.15">
      <c r="P490" s="11" t="s">
        <v>1798</v>
      </c>
      <c r="Q490" s="6">
        <v>1</v>
      </c>
    </row>
    <row r="491" spans="16:17" x14ac:dyDescent="0.15">
      <c r="P491" s="11" t="s">
        <v>1374</v>
      </c>
      <c r="Q491" s="6">
        <v>1</v>
      </c>
    </row>
    <row r="492" spans="16:17" x14ac:dyDescent="0.15">
      <c r="P492" s="11" t="s">
        <v>1799</v>
      </c>
      <c r="Q492" s="6">
        <v>1</v>
      </c>
    </row>
    <row r="493" spans="16:17" x14ac:dyDescent="0.15">
      <c r="P493" s="11" t="s">
        <v>1376</v>
      </c>
      <c r="Q493" s="6">
        <v>1</v>
      </c>
    </row>
    <row r="494" spans="16:17" x14ac:dyDescent="0.15">
      <c r="P494" s="11" t="s">
        <v>1800</v>
      </c>
      <c r="Q494" s="6">
        <v>1</v>
      </c>
    </row>
    <row r="495" spans="16:17" x14ac:dyDescent="0.15">
      <c r="P495" s="11" t="s">
        <v>1377</v>
      </c>
      <c r="Q495" s="6">
        <v>1</v>
      </c>
    </row>
    <row r="496" spans="16:17" x14ac:dyDescent="0.15">
      <c r="P496" s="11" t="s">
        <v>1378</v>
      </c>
      <c r="Q496" s="6">
        <v>1</v>
      </c>
    </row>
    <row r="497" spans="16:17" x14ac:dyDescent="0.15">
      <c r="P497" s="11" t="s">
        <v>1379</v>
      </c>
      <c r="Q497" s="6">
        <v>1</v>
      </c>
    </row>
    <row r="498" spans="16:17" x14ac:dyDescent="0.15">
      <c r="P498" s="11" t="s">
        <v>1380</v>
      </c>
      <c r="Q498" s="6">
        <v>1</v>
      </c>
    </row>
    <row r="499" spans="16:17" x14ac:dyDescent="0.15">
      <c r="P499" s="11" t="s">
        <v>1638</v>
      </c>
      <c r="Q499" s="6">
        <v>1</v>
      </c>
    </row>
    <row r="500" spans="16:17" x14ac:dyDescent="0.15">
      <c r="P500" s="11" t="s">
        <v>1801</v>
      </c>
      <c r="Q500" s="6">
        <v>1</v>
      </c>
    </row>
    <row r="501" spans="16:17" x14ac:dyDescent="0.15">
      <c r="P501" s="11" t="s">
        <v>1802</v>
      </c>
      <c r="Q501" s="6">
        <v>1</v>
      </c>
    </row>
    <row r="502" spans="16:17" x14ac:dyDescent="0.15">
      <c r="P502" s="11" t="s">
        <v>1803</v>
      </c>
      <c r="Q502" s="6">
        <v>1</v>
      </c>
    </row>
    <row r="503" spans="16:17" x14ac:dyDescent="0.15">
      <c r="P503" s="11" t="s">
        <v>1804</v>
      </c>
      <c r="Q503" s="6">
        <v>1</v>
      </c>
    </row>
    <row r="504" spans="16:17" x14ac:dyDescent="0.15">
      <c r="P504" s="11" t="s">
        <v>1381</v>
      </c>
      <c r="Q504" s="6">
        <v>1</v>
      </c>
    </row>
    <row r="505" spans="16:17" x14ac:dyDescent="0.15">
      <c r="P505" s="11" t="s">
        <v>1382</v>
      </c>
      <c r="Q505" s="6">
        <v>1</v>
      </c>
    </row>
    <row r="506" spans="16:17" x14ac:dyDescent="0.15">
      <c r="P506" s="11" t="s">
        <v>1383</v>
      </c>
      <c r="Q506" s="6">
        <v>1</v>
      </c>
    </row>
    <row r="507" spans="16:17" x14ac:dyDescent="0.15">
      <c r="P507" s="11" t="s">
        <v>1384</v>
      </c>
      <c r="Q507" s="6">
        <v>1</v>
      </c>
    </row>
    <row r="508" spans="16:17" x14ac:dyDescent="0.15">
      <c r="P508" s="11" t="s">
        <v>1385</v>
      </c>
      <c r="Q508" s="6">
        <v>1</v>
      </c>
    </row>
    <row r="509" spans="16:17" x14ac:dyDescent="0.15">
      <c r="P509" s="11" t="s">
        <v>1805</v>
      </c>
      <c r="Q509" s="6">
        <v>1</v>
      </c>
    </row>
    <row r="510" spans="16:17" x14ac:dyDescent="0.15">
      <c r="P510" s="11" t="s">
        <v>1386</v>
      </c>
      <c r="Q510" s="6">
        <v>1</v>
      </c>
    </row>
    <row r="511" spans="16:17" x14ac:dyDescent="0.15">
      <c r="P511" s="11" t="s">
        <v>1387</v>
      </c>
      <c r="Q511" s="6">
        <v>1</v>
      </c>
    </row>
    <row r="512" spans="16:17" x14ac:dyDescent="0.15">
      <c r="P512" s="11" t="s">
        <v>1388</v>
      </c>
      <c r="Q512" s="6">
        <v>1</v>
      </c>
    </row>
    <row r="513" spans="16:17" x14ac:dyDescent="0.15">
      <c r="P513" s="11" t="s">
        <v>1389</v>
      </c>
      <c r="Q513" s="6">
        <v>1</v>
      </c>
    </row>
    <row r="514" spans="16:17" x14ac:dyDescent="0.15">
      <c r="P514" s="11" t="s">
        <v>1390</v>
      </c>
      <c r="Q514" s="6">
        <v>1</v>
      </c>
    </row>
    <row r="515" spans="16:17" x14ac:dyDescent="0.15">
      <c r="P515" s="11" t="s">
        <v>1391</v>
      </c>
      <c r="Q515" s="6">
        <v>1</v>
      </c>
    </row>
    <row r="516" spans="16:17" x14ac:dyDescent="0.15">
      <c r="P516" s="11" t="s">
        <v>1806</v>
      </c>
      <c r="Q516" s="6">
        <v>1</v>
      </c>
    </row>
    <row r="517" spans="16:17" x14ac:dyDescent="0.15">
      <c r="P517" s="11" t="s">
        <v>1807</v>
      </c>
      <c r="Q517" s="6">
        <v>1</v>
      </c>
    </row>
    <row r="518" spans="16:17" x14ac:dyDescent="0.15">
      <c r="P518" s="11" t="s">
        <v>1808</v>
      </c>
      <c r="Q518" s="6">
        <v>1</v>
      </c>
    </row>
    <row r="519" spans="16:17" x14ac:dyDescent="0.15">
      <c r="P519" s="11" t="s">
        <v>1392</v>
      </c>
      <c r="Q519" s="6">
        <v>1</v>
      </c>
    </row>
    <row r="520" spans="16:17" x14ac:dyDescent="0.15">
      <c r="P520" s="11" t="s">
        <v>1809</v>
      </c>
      <c r="Q520" s="6">
        <v>1</v>
      </c>
    </row>
    <row r="521" spans="16:17" x14ac:dyDescent="0.15">
      <c r="P521" s="11" t="s">
        <v>1393</v>
      </c>
      <c r="Q521" s="6">
        <v>1</v>
      </c>
    </row>
    <row r="522" spans="16:17" x14ac:dyDescent="0.15">
      <c r="P522" s="11" t="s">
        <v>1394</v>
      </c>
      <c r="Q522" s="6">
        <v>1</v>
      </c>
    </row>
    <row r="523" spans="16:17" x14ac:dyDescent="0.15">
      <c r="P523" s="11" t="s">
        <v>1395</v>
      </c>
      <c r="Q523" s="6">
        <v>1</v>
      </c>
    </row>
    <row r="524" spans="16:17" x14ac:dyDescent="0.15">
      <c r="P524" s="11" t="s">
        <v>1810</v>
      </c>
      <c r="Q524" s="6">
        <v>1</v>
      </c>
    </row>
    <row r="525" spans="16:17" x14ac:dyDescent="0.15">
      <c r="P525" s="11" t="s">
        <v>1396</v>
      </c>
      <c r="Q525" s="6">
        <v>1</v>
      </c>
    </row>
    <row r="526" spans="16:17" x14ac:dyDescent="0.15">
      <c r="P526" s="11" t="s">
        <v>1397</v>
      </c>
      <c r="Q526" s="6">
        <v>1</v>
      </c>
    </row>
    <row r="527" spans="16:17" x14ac:dyDescent="0.15">
      <c r="P527" s="11" t="s">
        <v>1398</v>
      </c>
      <c r="Q527" s="6">
        <v>1</v>
      </c>
    </row>
    <row r="528" spans="16:17" x14ac:dyDescent="0.15">
      <c r="P528" s="11" t="s">
        <v>1811</v>
      </c>
      <c r="Q528" s="6">
        <v>1</v>
      </c>
    </row>
    <row r="529" spans="16:17" x14ac:dyDescent="0.15">
      <c r="P529" s="11" t="s">
        <v>1812</v>
      </c>
      <c r="Q529" s="6">
        <v>1</v>
      </c>
    </row>
    <row r="530" spans="16:17" x14ac:dyDescent="0.15">
      <c r="P530" s="11" t="s">
        <v>1399</v>
      </c>
      <c r="Q530" s="6">
        <v>1</v>
      </c>
    </row>
    <row r="531" spans="16:17" x14ac:dyDescent="0.15">
      <c r="P531" s="11" t="s">
        <v>1400</v>
      </c>
      <c r="Q531" s="6">
        <v>1</v>
      </c>
    </row>
    <row r="532" spans="16:17" x14ac:dyDescent="0.15">
      <c r="P532" s="11" t="s">
        <v>1401</v>
      </c>
      <c r="Q532" s="6">
        <v>1</v>
      </c>
    </row>
    <row r="533" spans="16:17" x14ac:dyDescent="0.15">
      <c r="P533" s="11" t="s">
        <v>1402</v>
      </c>
      <c r="Q533" s="6">
        <v>1</v>
      </c>
    </row>
    <row r="534" spans="16:17" x14ac:dyDescent="0.15">
      <c r="P534" s="11" t="s">
        <v>1403</v>
      </c>
      <c r="Q534" s="6">
        <v>1</v>
      </c>
    </row>
    <row r="535" spans="16:17" x14ac:dyDescent="0.15">
      <c r="P535" s="11" t="s">
        <v>1404</v>
      </c>
      <c r="Q535" s="6">
        <v>1</v>
      </c>
    </row>
    <row r="536" spans="16:17" x14ac:dyDescent="0.15">
      <c r="P536" s="11" t="s">
        <v>1405</v>
      </c>
      <c r="Q536" s="6">
        <v>1</v>
      </c>
    </row>
    <row r="537" spans="16:17" x14ac:dyDescent="0.15">
      <c r="P537" s="11" t="s">
        <v>1406</v>
      </c>
      <c r="Q537" s="6">
        <v>1</v>
      </c>
    </row>
    <row r="538" spans="16:17" x14ac:dyDescent="0.15">
      <c r="P538" s="11" t="s">
        <v>1407</v>
      </c>
      <c r="Q538" s="6">
        <v>1</v>
      </c>
    </row>
    <row r="539" spans="16:17" x14ac:dyDescent="0.15">
      <c r="P539" s="11" t="s">
        <v>1408</v>
      </c>
      <c r="Q539" s="6">
        <v>1</v>
      </c>
    </row>
    <row r="540" spans="16:17" x14ac:dyDescent="0.15">
      <c r="P540" s="11" t="s">
        <v>1813</v>
      </c>
    </row>
    <row r="541" spans="16:17" x14ac:dyDescent="0.15">
      <c r="P541" s="11" t="s">
        <v>1814</v>
      </c>
      <c r="Q541" s="6">
        <v>538</v>
      </c>
    </row>
  </sheetData>
  <phoneticPr fontId="1"/>
  <conditionalFormatting sqref="L4:L41 E4:E100">
    <cfRule type="cellIs" dxfId="0" priority="1" operator="equal">
      <formul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todayssatellite</vt:lpstr>
      <vt:lpstr>データチェック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2023-06-28T00:12:09Z</dcterms:created>
  <dcterms:modified xsi:type="dcterms:W3CDTF">2026-06-11T10:59:21Z</dcterms:modified>
</cp:coreProperties>
</file>